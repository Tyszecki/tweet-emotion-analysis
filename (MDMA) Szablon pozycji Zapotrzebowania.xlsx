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/>
  <mc:AlternateContent xmlns:mc="http://schemas.openxmlformats.org/markup-compatibility/2006">
    <mc:Choice Requires="x15">
      <x15ac:absPath xmlns:x15ac="http://schemas.microsoft.com/office/spreadsheetml/2010/11/ac" url="C:\Users\mtyszecki\Desktop\"/>
    </mc:Choice>
  </mc:AlternateContent>
  <xr:revisionPtr revIDLastSave="0" documentId="8_{1A8C23FA-6E2D-4680-8753-DA8DFC26A97F}" xr6:coauthVersionLast="36" xr6:coauthVersionMax="36" xr10:uidLastSave="{00000000-0000-0000-0000-000000000000}"/>
  <bookViews>
    <workbookView xWindow="0" yWindow="0" windowWidth="14380" windowHeight="4880" xr2:uid="{00000000-000D-0000-FFFF-FFFF00000000}"/>
  </bookViews>
  <sheets>
    <sheet name="Szablon" sheetId="1" r:id="rId1"/>
  </sheets>
  <calcPr calcId="191029"/>
</workbook>
</file>

<file path=xl/calcChain.xml><?xml version="1.0" encoding="utf-8"?>
<calcChain xmlns="http://schemas.openxmlformats.org/spreadsheetml/2006/main">
  <c r="K20" i="1" l="1"/>
  <c r="K105" i="1" l="1"/>
  <c r="K104" i="1"/>
  <c r="K103" i="1"/>
  <c r="I102" i="1"/>
  <c r="K102" i="1" s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I86" i="1"/>
  <c r="K86" i="1" s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I32" i="1"/>
  <c r="K32" i="1" s="1"/>
  <c r="I31" i="1"/>
  <c r="K31" i="1" s="1"/>
  <c r="K30" i="1"/>
  <c r="K29" i="1"/>
  <c r="I29" i="1"/>
  <c r="I28" i="1"/>
  <c r="K28" i="1" s="1"/>
  <c r="I27" i="1"/>
  <c r="K27" i="1" s="1"/>
  <c r="K26" i="1"/>
  <c r="I25" i="1"/>
  <c r="K25" i="1" s="1"/>
  <c r="I24" i="1"/>
  <c r="K24" i="1" s="1"/>
  <c r="K23" i="1"/>
  <c r="K22" i="1"/>
  <c r="I22" i="1"/>
  <c r="K21" i="1"/>
  <c r="K14" i="1"/>
  <c r="K13" i="1"/>
  <c r="K12" i="1"/>
  <c r="K11" i="1"/>
  <c r="K10" i="1"/>
  <c r="I9" i="1"/>
  <c r="K9" i="1" s="1"/>
  <c r="K8" i="1"/>
  <c r="K7" i="1"/>
  <c r="K6" i="1"/>
  <c r="K5" i="1"/>
</calcChain>
</file>

<file path=xl/sharedStrings.xml><?xml version="1.0" encoding="utf-8"?>
<sst xmlns="http://schemas.openxmlformats.org/spreadsheetml/2006/main" count="626" uniqueCount="353">
  <si>
    <t>Nazwa</t>
  </si>
  <si>
    <t>GTIN</t>
  </si>
  <si>
    <t>MPN</t>
  </si>
  <si>
    <t>DPN</t>
  </si>
  <si>
    <t>Ilość</t>
  </si>
  <si>
    <t>Jednostka</t>
  </si>
  <si>
    <t>cena za sztuke</t>
  </si>
  <si>
    <t>suma</t>
  </si>
  <si>
    <t>Uwagi</t>
  </si>
  <si>
    <t>waluta</t>
  </si>
  <si>
    <t>Producent</t>
  </si>
  <si>
    <t>Dystrybutor</t>
  </si>
  <si>
    <t>N</t>
  </si>
  <si>
    <t>T</t>
  </si>
  <si>
    <t>Kategoria e-elektronia, m-materiały, u-usługi, s-oprogramowanie, n-narzędzia</t>
  </si>
  <si>
    <t>Rama (Frame) </t>
  </si>
  <si>
    <t>iFlight</t>
  </si>
  <si>
    <t>szt.</t>
  </si>
  <si>
    <t>https://iflight-rc.eu/pl-pl/products/aos-ul7-v5-fpv-frame-kit</t>
  </si>
  <si>
    <t>m</t>
  </si>
  <si>
    <t>Silniki </t>
  </si>
  <si>
    <t>T-Motor</t>
  </si>
  <si>
    <t>Link1</t>
  </si>
  <si>
    <t>e</t>
  </si>
  <si>
    <t>ESC 4-in-1 </t>
  </si>
  <si>
    <t>https://dronavista.pl/pl/akcesoria-t-motor/6853-kontroler-lotu-t-motor-f7-hd-i-regulator-t-motor-f55a-pro-ii-4w1.html</t>
  </si>
  <si>
    <t>Kontroler lotu (FC) </t>
  </si>
  <si>
    <t>https://avifly.pl/pl/kontrolery-lotu-fc/t-motor-f7-pro</t>
  </si>
  <si>
    <t xml:space="preserve">GPS </t>
  </si>
  <si>
    <t>-</t>
  </si>
  <si>
    <t>https://www.nobshop.pl/gps-matek-m10-z-kompasem-qmc5883-p-3723.html</t>
  </si>
  <si>
    <t>Nadajnik VTX + kamera</t>
  </si>
  <si>
    <t>https://avifly.pl/pl/nadajniki-fpv-vtx/zestaw-walksnail-avatar-gt</t>
  </si>
  <si>
    <t>Odbiornik ELRS </t>
  </si>
  <si>
    <t>RadioMaster</t>
  </si>
  <si>
    <t>https://dronavista.pl/pl/akcesoria-RadioMaster/9348-odbiornik-radiomaster-rp4td-expresslrs-24ghz-true-diversity.html</t>
  </si>
  <si>
    <t>Akumulator LiPo </t>
  </si>
  <si>
    <t>https://dronavista.pl/pl/6s-22-2v/9136-akumulator-liion-6s-4000mah-iflight.html</t>
  </si>
  <si>
    <t>Śmigła</t>
  </si>
  <si>
    <t>https://dronexpert.eu/smigla-gemfan-flash-7040-3-p-15342.html</t>
  </si>
  <si>
    <t>Gemfan</t>
  </si>
  <si>
    <t>https://www.flycamdrones.com/product/gemfan-lr7035-7x3-5x2-bi-blade-7-propeller-1-5mm-black/</t>
  </si>
  <si>
    <t>https://iflight-rc.eu/pl-pl/products/cx10-frame-kit?_pos=2&amp;_fid=ba45b79ab&amp;_ss=c</t>
  </si>
  <si>
    <t>Silniki (4×) </t>
  </si>
  <si>
    <t>https://www.hobbydrone.cz/pl/t-motor-velox-3115-900kv/</t>
  </si>
  <si>
    <t>https://dronavista.pl/pl/kontrolery-lotu-i-esc/7735-regulator-esc-4in1-t-motor-f60a-8s-mini-20x20.html</t>
  </si>
  <si>
    <t>https://www.drony.net/orange-cube-plus-standard-ads-b-proficnc-hex.html</t>
  </si>
  <si>
    <t>GPS </t>
  </si>
  <si>
    <t>https://www.drony.net/proficnc-hex-here4-multiband-rtk-gnss.html</t>
  </si>
  <si>
    <t>Bateria </t>
  </si>
  <si>
    <t>Tattu</t>
  </si>
  <si>
    <t>https://dronavista.pl/pl/6s-22-2v/424-akumulator-lipo-tattu-16000mah-222v-30c-6s1p-as150xt150.html</t>
  </si>
  <si>
    <t>Kamera FPV </t>
  </si>
  <si>
    <t>https://www.hobbydrone.cz/pl/caddx-ratel-2-night-version/</t>
  </si>
  <si>
    <t>VTX analogowy </t>
  </si>
  <si>
    <t>RCDrone</t>
  </si>
  <si>
    <t>https://rcdrone.top/pl/products/rcdrone-5-8g-4w-48ch-vtx</t>
  </si>
  <si>
    <t>Nadajnik VTX </t>
  </si>
  <si>
    <t>https://dronavista.pl/pl/nadajniki-fpv/9293-walksnail-avatar-hd-pro-kit-32gb.html</t>
  </si>
  <si>
    <t>Antena VTX </t>
  </si>
  <si>
    <t>ImmersionRC</t>
  </si>
  <si>
    <t>https://dronavista.pl/pl/anteny-fpv/1467-antena-panelowa-58ghz-8dbi-rhcp-sma-immersionrc.html</t>
  </si>
  <si>
    <t>https://www.nobshop.pl/odbiornik-radiomaster-xr3-nano-multi-frequency-antenna-diversity-expresslrs-p-4762.html</t>
  </si>
  <si>
    <t>CNHL</t>
  </si>
  <si>
    <t>https://dronavista.pl/pl/6s-22-2v/6813-akumulator-cnhl-1500mah-222v-100c-6s-xt60.html</t>
  </si>
  <si>
    <t>Śmigła (komplet)</t>
  </si>
  <si>
    <t>APC</t>
  </si>
  <si>
    <t>https://modelarski.com/produkt/smiglo-10x45-apc-mr/</t>
  </si>
  <si>
    <t>Oprogramowanie CAD </t>
  </si>
  <si>
    <t>Autodesk</t>
  </si>
  <si>
    <t>licencja</t>
  </si>
  <si>
    <t>https://www.autodesk.com/pl/products/fusion-360</t>
  </si>
  <si>
    <t>s</t>
  </si>
  <si>
    <t>Sterowanie RC </t>
  </si>
  <si>
    <t>https://dronavista.pl/pl/radiomaster/11078-aparatura-radiomaster-tx16s-mk3-max-ag02-24-ghz-elrs.html</t>
  </si>
  <si>
    <t>Gogle FPV </t>
  </si>
  <si>
    <t>Walksnail Avatar HD Goggles X – gogle FPV 1080p HDMI AV IN</t>
  </si>
  <si>
    <t>Repeater VTX </t>
  </si>
  <si>
    <t>Walksnail Avatar Repeater – wzmacniacz zasięgu HD FPV 5.2/5.8GHz</t>
  </si>
  <si>
    <t>Statyw </t>
  </si>
  <si>
    <t>Manfrotto</t>
  </si>
  <si>
    <t>Manfrotto Statyw RANKER 118 – 273cm – BemixMedia.pl</t>
  </si>
  <si>
    <t>n</t>
  </si>
  <si>
    <t>Baterie do gogli </t>
  </si>
  <si>
    <t>Lipol Tattu 3S 11.1V 450mAh 75C XT30</t>
  </si>
  <si>
    <t>Pakowanie</t>
  </si>
  <si>
    <t>StartRC</t>
  </si>
  <si>
    <t>Ognioodporna torba STARTRC do ładowania akumulatorów do dronów DJI Mini i DJI Air, odporna na ogień i wodę | Pepita.com</t>
  </si>
  <si>
    <t>Materiały</t>
  </si>
  <si>
    <t>rolka</t>
  </si>
  <si>
    <t>https://get3d.pl/filamenty/filament-bambu-lab-petg-hf</t>
  </si>
  <si>
    <t>https://get3d.pl/filamenty/filament-bambu-lab-abs</t>
  </si>
  <si>
    <t>Usługi</t>
  </si>
  <si>
    <t>usługi</t>
  </si>
  <si>
    <t>Usługi typu obróbka mechaniczna, płytki drukowane itp</t>
  </si>
  <si>
    <t>u</t>
  </si>
  <si>
    <t>Wysyłka</t>
  </si>
  <si>
    <t>Przewidywane koszty wysyłek</t>
  </si>
  <si>
    <t>Ładowarka </t>
  </si>
  <si>
    <t>4010DUO</t>
  </si>
  <si>
    <t>https://www.icharger.com.pl/icharger-4010-duo-ladowarka-2000w-2x40a-lipo-2x10s-p-211.html</t>
  </si>
  <si>
    <t>Zasilacz ładowarka</t>
  </si>
  <si>
    <t>RSP-1000-24</t>
  </si>
  <si>
    <t>https://www.elmark.com.pl/sklep/mean-well/zasilacz-duzej-mocy-rsp-1000</t>
  </si>
  <si>
    <t>Suwmiarka cyfrowa</t>
  </si>
  <si>
    <t>TME</t>
  </si>
  <si>
    <t>3M</t>
  </si>
  <si>
    <t>Botland</t>
  </si>
  <si>
    <t>Taśma miedziana</t>
  </si>
  <si>
    <t>metr</t>
  </si>
  <si>
    <t>Zestaw anten 5,8 GHz (LHCP/RHCP, cloverleaf, skew‑planar)</t>
  </si>
  <si>
    <t>zakup w zależności od funkcjonalności dołączonych anten</t>
  </si>
  <si>
    <t>Filtry ND do kamery FPV (ND4/ND8/ND16/ND32)</t>
  </si>
  <si>
    <t>jak przyjdą kamery</t>
  </si>
  <si>
    <t>Lampa LED do drona (soft‑light, 2-4 S)</t>
  </si>
  <si>
    <t>po konstrukcji drona</t>
  </si>
  <si>
    <t>https://botland.com.pl/plytki-uniwersalne/2006-plytka-uniwersalna-jednostronna-50x70mm-5906623442386.html</t>
  </si>
  <si>
    <t>płytka prototypowa2</t>
  </si>
  <si>
    <t>SD-12N</t>
  </si>
  <si>
    <t>Wish</t>
  </si>
  <si>
    <t>https://www.tme.eu/pl/details/sd-12n/plytki-stykowe/stary-21/</t>
  </si>
  <si>
    <t>płytka prototypowa3</t>
  </si>
  <si>
    <t>https://botland.com.pl/plytki-uniwersalne/5738-plytka-uniwersalna-dwustronna-30x70mm-5901574000305.html</t>
  </si>
  <si>
    <t>płytka prototypowa4</t>
  </si>
  <si>
    <t>https://botland.com.pl/plytki-uniwersalne/5739-plytka-uniwersalna-dwustronna-80x120mm-5906623447992.html</t>
  </si>
  <si>
    <t>płytka prototypowa5</t>
  </si>
  <si>
    <t>https://botland.com.pl/plytki-uniwersalne/5737-plytka-uniwersalna-dwustronna-20x80mm-5901574000299.html</t>
  </si>
  <si>
    <t>wzmacniacze operacyjne</t>
  </si>
  <si>
    <t>Wielu</t>
  </si>
  <si>
    <t>Allegro</t>
  </si>
  <si>
    <t>65</t>
  </si>
  <si>
    <t>https://allegro.pl/oferta/zestaw-uklady-scalone-z-gniazdami-wzmacniacz-operacyjny-oscylator-17182233270</t>
  </si>
  <si>
    <t>tranzystory i wzmacniacze mocy</t>
  </si>
  <si>
    <t>2SC1971</t>
  </si>
  <si>
    <t>Mitsubishi</t>
  </si>
  <si>
    <t>https://www.tme.eu/pl/details/2sc1971/tranzystory-bipolarne-npn-tht/mitsubishi/</t>
  </si>
  <si>
    <t>złącza gold</t>
  </si>
  <si>
    <t>https://botland.com.pl/zlacza-molex/14451-zestaw-zlaczy-rast-254mm-620szt-5906623447435.html</t>
  </si>
  <si>
    <t>diody prostownicze</t>
  </si>
  <si>
    <t>https://botland.com.pl/zestawy-elementow-elektronicznych/21796-zestaw-diod-prostowniczych-i-schottky-200szt-5906623449330.html</t>
  </si>
  <si>
    <t>kondensatory ceramiczne nF</t>
  </si>
  <si>
    <t>https://botland.com.pl/zestawy-elementow-elektronicznych/15774-zestaw-kondensatorow-ceramicznych-300szt-5906623448401.html</t>
  </si>
  <si>
    <t>HIS-PACK-MIX</t>
  </si>
  <si>
    <t>Hellermann</t>
  </si>
  <si>
    <t>https://www.tme.eu/pl/details/his-pack-mix/koszulki-termokurczliwe/hellermanntyton/308-45000/</t>
  </si>
  <si>
    <t>kable prototypoweM</t>
  </si>
  <si>
    <t>https://botland.com.pl/przewody-stykowe/150-przewody-mesko-meskie-20cm-40szt-5906623440053.html</t>
  </si>
  <si>
    <t>kable prototypoweF</t>
  </si>
  <si>
    <t>https://botland.com.pl/przewody-stykowe/152-przewody-zensko-meskie-20cm-40szt-5906623440077.html</t>
  </si>
  <si>
    <t>kondensatory ceramiczne pF</t>
  </si>
  <si>
    <t>23,28</t>
  </si>
  <si>
    <t>https://allegro.pl/oferta/zestaw-kondensatorow-ceramicznych-400-sztuk-0-100pf-13545513632</t>
  </si>
  <si>
    <t>rezystory</t>
  </si>
  <si>
    <t>RES-ZESTAW 0.25W</t>
  </si>
  <si>
    <t>Royal Ohm</t>
  </si>
  <si>
    <t>https://www.tme.eu/pl/details/res-zestaw-0.25w/rezystory-tht-zestawy/royal-ohm/</t>
  </si>
  <si>
    <t>kondensatory elektrolityczne</t>
  </si>
  <si>
    <t>https://botland.com.pl/zestawy-elementow-elektronicznych/15775-zestaw-kondensatorow-elektrolitycznych-200szt-5906623448371.html</t>
  </si>
  <si>
    <t>Lutownica hotair</t>
  </si>
  <si>
    <t>SP-1011D-SET</t>
  </si>
  <si>
    <t>Thermaltronics</t>
  </si>
  <si>
    <t>https://www.tme.eu/pl/details/sp-1011d-set/stacje-lutownicze-hot-air/thermaltronics/</t>
  </si>
  <si>
    <t xml:space="preserve">Wkrętaki precyzyjne </t>
  </si>
  <si>
    <t>Wera</t>
  </si>
  <si>
    <t>https://www.tme.eu/pl/details/wer.073675/wkretaki-zestawy/wera/05073675001/</t>
  </si>
  <si>
    <t>zaciskarka</t>
  </si>
  <si>
    <t>WZ0068</t>
  </si>
  <si>
    <t>https://www.tme.eu/pl/details/pc-wz0068/zaciskarki-koncowek-kablowych/logilink/wz0068/</t>
  </si>
  <si>
    <t>Cążki</t>
  </si>
  <si>
    <t>78 61 125</t>
  </si>
  <si>
    <t>https://www.tme.eu/pl/details/knp.7861125/szczypce-do-ciecia/knipex/78-61-125/</t>
  </si>
  <si>
    <t>Pęsety precyzyjne</t>
  </si>
  <si>
    <t>K5-T1D</t>
  </si>
  <si>
    <t>https://www.tme.eu/pl/details/pg-k5-t1d/pesety-esd/piergiacomi/k5-t1d/</t>
  </si>
  <si>
    <t>Czyściwo do cyny</t>
  </si>
  <si>
    <t>SOLDABSORB 2.5/1.5</t>
  </si>
  <si>
    <t>https://www.tme.eu/pl/details/soldabsorb25x15_1/tasmy-rozlutowujace/kontakt-chemie/33398-aa/</t>
  </si>
  <si>
    <t>Odsysacz</t>
  </si>
  <si>
    <t>https://www.tme.eu/pl/details/jbc-du1191/odsysacze-lutownicze/jbc-tools/0119107/</t>
  </si>
  <si>
    <t>Mata ESD</t>
  </si>
  <si>
    <t>082-0028F</t>
  </si>
  <si>
    <t>https://www.tme.eu/pl/details/ats-082-0028f/maty-stolowe-esd/antistat/082-0028f/</t>
  </si>
  <si>
    <t>Uchwyt ESD</t>
  </si>
  <si>
    <t>066-0055</t>
  </si>
  <si>
    <t>https://www.tme.eu/pl/details/ats-066-0055/opaski-na-reke-esd/antistat/066-0055/</t>
  </si>
  <si>
    <t>Wkretaki 2,5</t>
  </si>
  <si>
    <t>Conrad</t>
  </si>
  <si>
    <t>https://www.conrad.pl/pl/p/wkretak-imbusowy-wera-354-05023107001-2-5-mm-817257.html?experience=b2c&amp;gclsrc=aw.ds&amp;&amp;qwer=Cj0KCQiA-YvMBhDtARIsAHZuUzLgVBandcZLPFloZWAUQSzqsJ2aXiJmPkrGIhN75U06CKYReIe4f80aAoPgEALw_wcB&amp;utm_source=google&amp;utm_medium=cpc&amp;utm_campaign=PL+-+PMAX+-+NonBrand+-+High+3_&amp;utm_id=21864643648&amp;gad_source=1&amp;gad_campaignid=21860786093&amp;gbraid=0AAAAADj8Oy6O1vBWOn1aXqoPm-S-eOIgg&amp;gclid=Cj0KCQiA-YvMBhDtARIsAHZuUzLgVBandcZLPFloZWAUQSzqsJ2aXiJmPkrGIhN75U06CKYReIe4f80aAoPgEALw_wcB</t>
  </si>
  <si>
    <t>Buzzer</t>
  </si>
  <si>
    <t>Finder 2</t>
  </si>
  <si>
    <t>Dronavista</t>
  </si>
  <si>
    <t>https://dronavista.pl/pl/akcesoria-iflight/7907-buzzer-z-zasilaniem-100db-vifly-finder-2.html</t>
  </si>
  <si>
    <t>Przewód xt60 - banan</t>
  </si>
  <si>
    <t>Kamami</t>
  </si>
  <si>
    <t>https://kamami.pl/zlacza-adaptery/1183839-przewod-gniazdo-xt60-wtyki-bananowe-20-cm-5906623447077.html</t>
  </si>
  <si>
    <t>Złącze xt60</t>
  </si>
  <si>
    <t>5906623447077</t>
  </si>
  <si>
    <t>XT60H-F</t>
  </si>
  <si>
    <t>https://www.tme.eu/pl/details/xt60h-f/zlacza-dc/amass/?brutto=1&amp;currency=PLN&amp;utm_source=google&amp;utm_medium=cpc&amp;utm_campaign=Z%C5%82%C4%85cza%20PL%20%5BPLA%5D%20CSS%20Segment_A&amp;utm_content=&amp;campaign_id=11197053321&amp;gad_source=1&amp;gad_campaignid=11197053321&amp;gbraid=0AAAAADyylhI-p3P-CkPRao-sN0GrOK_eI&amp;gclid=Cj0KCQiA-YvMBhDtARIsAHZuUzL5-5m-C10-sG8oUz9_D3UVTXHk5BQ-gJlsIIPPjtWKyly7bOs0-LAaAizCEALw_wcB</t>
  </si>
  <si>
    <t>Złącze xt90</t>
  </si>
  <si>
    <t>XT90I-M</t>
  </si>
  <si>
    <t>https://www.tme.eu/pl/details/xt90i-m/zlacza-dc/amass/?brutto=1&amp;currency=PLN&amp;utm_source=google&amp;utm_medium=cpc&amp;utm_campaign=Z%C5%82%C4%85cza%20PL%20%5BPLA%5D%20CSS%20Segment_B&amp;utm_content=&amp;campaign_id=20675111424&amp;gad_source=1&amp;gad_campaignid=20675111424&amp;gbraid=0AAAAADyylhIVM71V4wJfwdpFCKvASWEO8&amp;gclid=Cj0KCQiA-YvMBhDtARIsAHZuUzJRwKDxzzfG57J5AmFXD_ySCwDv0pXdpTAnG-Fq9EKtuwGr2B6AU0kaAkvUEALw_wcB</t>
  </si>
  <si>
    <t>śruby TORX stożek M2, M2.5, M3, M4, M5</t>
  </si>
  <si>
    <t>BN 3803</t>
  </si>
  <si>
    <t>Bossard</t>
  </si>
  <si>
    <t>opakowanie</t>
  </si>
  <si>
    <t>https://www.bossard.com/pl-pl/eshop/sruby-i-wkrety-z-napedem-wewnetrznym/sruby-stozkowe-z-pelnym-gwintem-z-gniazdem-szesciokarbowym/p/3803/</t>
  </si>
  <si>
    <t>śruby TORX płaski-niski M2, M2.5, M3</t>
  </si>
  <si>
    <t>BN 20146</t>
  </si>
  <si>
    <t>https://www.bossard.com/pl-pl/eshop/sruby-i-wkrety-z-napedem-wewnetrznym/sruby-z-lbem-walcowym-z-gniazdem-szesciokarbowym/p/20146/</t>
  </si>
  <si>
    <t>śruby TORX płaski M2, M2.5, M3, M4, M5</t>
  </si>
  <si>
    <t>BN 15857</t>
  </si>
  <si>
    <t>https://www.bossard.com/pl-pl/eshop/sruby-i-wkrety-z-napedem-wewnetrznym/sruby-z-lbem-walcowym-z-pelnym-gwintem-z-gniazdem-szesciokarbowym/p/15857/</t>
  </si>
  <si>
    <t>Nakrętki</t>
  </si>
  <si>
    <t>BN 630</t>
  </si>
  <si>
    <t>https://www.bossard.com/pl-pl/eshop/nakretki-szesciokatne/nakretki-szesciokatne-0-5d/p/630/</t>
  </si>
  <si>
    <t>Wkładka</t>
  </si>
  <si>
    <t>BN 1934</t>
  </si>
  <si>
    <t>https://www.bossard.com/pl-pl/eshop/wciskane-wkladki-gwintowane-do-tworzyw-sztucznych/wkladki-gwintowane-do-osadzania-na-goraco-lub-ultradzwiekowego-bez-lba-radelkowane-zaokraglone-typu-s-do-tworzyw-termoplastycznych/p/1934/</t>
  </si>
  <si>
    <t>Podkładki</t>
  </si>
  <si>
    <t>BN 671</t>
  </si>
  <si>
    <t>https://www.bossard.com/pl-pl/eshop/podkladki-plaskie-bez-fazy/podkladki-bez-fazy/p/671/</t>
  </si>
  <si>
    <t>Przewody i kable</t>
  </si>
  <si>
    <t>różne kable i szpule, zostaną doprecyzowane po skompletowaniu części</t>
  </si>
  <si>
    <t>Taśma rzep</t>
  </si>
  <si>
    <t>55229-00-01</t>
  </si>
  <si>
    <t>https://allegro.pl/oferta/rzep-tasma-na-kable-tesa-organizer-do-kabli-przewodow-5m-x-10-mm-czarny-15150540043</t>
  </si>
  <si>
    <t>Podkładki samoprzylepne 3M</t>
  </si>
  <si>
    <t>https://allegro.pl/oferta/80x-mocne-podkladki-samoprzylepne-3m-montazowe-tasma-dwustronna-wodoodporna-17978327421?utm_feed=aa34192d-eee2-4419-9a9a-de66b9dfae24&amp;utm_source=google&amp;utm_medium=freelisting&amp;srsltid=AfmBOorf1f-7Ix4eudtc7Ye19ZEl5eVNVAXA85wVLKjQWiDD5hGs3WN9VE0</t>
  </si>
  <si>
    <t>System transportowy</t>
  </si>
  <si>
    <t>Two Set Plus</t>
  </si>
  <si>
    <t>Qbrick</t>
  </si>
  <si>
    <t>Skrzynkownia</t>
  </si>
  <si>
    <t>https://skrzynkownia.pl/zestaw-skrzynek-narzedziowych-qbrick-system-two-set-plus-vario</t>
  </si>
  <si>
    <t>Anti-spark</t>
  </si>
  <si>
    <t>ShortSaver V2</t>
  </si>
  <si>
    <t>https://dronavista.pl/pl/akcesoria-iflight/7640-vifly-shortsaver-v2-smart-smoke-stopper-xt30-xt60.html</t>
  </si>
  <si>
    <t>Loctite 243 do śrub</t>
  </si>
  <si>
    <t>Erli</t>
  </si>
  <si>
    <t>https://erli.pl/produkt/loolifl-243-klej-anaerobowy-do-srub-o-sredniej-wytrzymalosci-10-ml,244961483?xid=zhZukSAb2Mr0SWLxz1iGJ-BLLTKl4WayF_d4VXG8wjlPGXRK7Jr01ozQRuMxz32fKk4QnSQ&amp;xidv=1&amp;utm_source=skapiec.pl&amp;utm_medium=referral&amp;utm_term=CPC14#dlapi_npa=0&amp;dlapi_lu=202602041517093544309156</t>
  </si>
  <si>
    <t>Karty SD 32gb</t>
  </si>
  <si>
    <t>SDSQQNR-032G-GN6IA</t>
  </si>
  <si>
    <t>MediaExpert</t>
  </si>
  <si>
    <t>https://www.mediaexpert.pl/foto-i-kamery/akcesoria-do-aparatow-i-kamer/karty-pamieci/karta-pamieci-32-gb-sandisk-microsd-high-endurance-monitoring-183565?gad_source=1&amp;gad_campaignid=11301062048&amp;gbraid=0AAAAADoIO6_xD8Yl8-4ntkCTKjCqhxFVS&amp;gclid=Cj0KCQiA-YvMBhDtARIsAHZuUzIC5_iRh5B3wOoG_LGrebS7QMAI83OPxtTyB1lTwLwCVJ9WZt9GrhgaAjHmEALw_wcB</t>
  </si>
  <si>
    <t>iFlight EU</t>
  </si>
  <si>
    <t>AOS RC / iFlight</t>
  </si>
  <si>
    <t>AOS-UL7-V5</t>
  </si>
  <si>
    <t>F7 HD + F55A Pro II</t>
  </si>
  <si>
    <t>AviFly</t>
  </si>
  <si>
    <t>F7-PRO-FC</t>
  </si>
  <si>
    <t>NobShop</t>
  </si>
  <si>
    <t>Matek Systems</t>
  </si>
  <si>
    <t>M10-5883</t>
  </si>
  <si>
    <t>Caddx/Walksnail</t>
  </si>
  <si>
    <t>AVATAR-GT-KIT</t>
  </si>
  <si>
    <t>RP4TD</t>
  </si>
  <si>
    <t>FULLSEND-LIION-6S</t>
  </si>
  <si>
    <t>DronExpert</t>
  </si>
  <si>
    <t>7040-3</t>
  </si>
  <si>
    <t>Flycam Drones</t>
  </si>
  <si>
    <t>7035-2</t>
  </si>
  <si>
    <t>CX10-FRAME</t>
  </si>
  <si>
    <t>HobbyDrone</t>
  </si>
  <si>
    <t>V3115-900KV</t>
  </si>
  <si>
    <t>F60A-MINI-8S</t>
  </si>
  <si>
    <t>Drony.net</t>
  </si>
  <si>
    <t>CubePilot</t>
  </si>
  <si>
    <t>CUBE-ORANGE-PLUS</t>
  </si>
  <si>
    <t>HERE4-GNSS</t>
  </si>
  <si>
    <t>TA-30C-16000-6S1P</t>
  </si>
  <si>
    <t>Caddx</t>
  </si>
  <si>
    <t>RATEL2-NIGHT</t>
  </si>
  <si>
    <t>VTX-4W-48CH</t>
  </si>
  <si>
    <t>AVATAR-PRO-32GB</t>
  </si>
  <si>
    <t>SPIRONET-8DBI</t>
  </si>
  <si>
    <t>XR3-NANO</t>
  </si>
  <si>
    <t>BLACK-1500-6S</t>
  </si>
  <si>
    <t>Modelarski</t>
  </si>
  <si>
    <t>LP10045MR</t>
  </si>
  <si>
    <t>F360-SUB</t>
  </si>
  <si>
    <t>TX16S-MK2-MAX</t>
  </si>
  <si>
    <t>AVATAR-GOGGLES-X</t>
  </si>
  <si>
    <t>AVATAR-REPEATER</t>
  </si>
  <si>
    <t>BemixMedia</t>
  </si>
  <si>
    <t>TA-75C-450-3S1P</t>
  </si>
  <si>
    <t>Pepita</t>
  </si>
  <si>
    <t>Get3D</t>
  </si>
  <si>
    <t>Bambu Lab</t>
  </si>
  <si>
    <t>PETG-HF-BLK</t>
  </si>
  <si>
    <t>ABS-BLK</t>
  </si>
  <si>
    <t>iCharger PL</t>
  </si>
  <si>
    <t>Junsi</t>
  </si>
  <si>
    <t>Elmark</t>
  </si>
  <si>
    <t>Mean Well</t>
  </si>
  <si>
    <t>Zgodnie z informacjami ze sklepu- numer MPN nie odpowiada konkretnemu produktowi, odpowiada wyłącznie modelowi. Kategorycznie NIE ZAMAWIAĆ po samym kodzie- należy weryfikować z opisem</t>
  </si>
  <si>
    <t>OPIS</t>
  </si>
  <si>
    <t>AOS UL7 V5 7”</t>
  </si>
  <si>
    <t>T-MOTOR F90 1300KV 2806,5 Long Range</t>
  </si>
  <si>
    <t>T-Motor F7 HD &amp; F55A Pro II HD Stack</t>
  </si>
  <si>
    <t>T-Motor F7 PRO – kontroler lotu z Wi-Fi i Bluetooth</t>
  </si>
  <si>
    <t xml:space="preserve">GPS Matek M10 z kompasem QMC5883
</t>
  </si>
  <si>
    <t>Walksnail Avatar GT KIT Zestaw FPV 1080p z kamerą Pro – EIS, Gyroflow, 2W TX</t>
  </si>
  <si>
    <t>RadioMaster RP4TD ExpressLRS 2.4GHz True Diversity</t>
  </si>
  <si>
    <t>Samsung INR21700-40T, Kombinacja ogniw: 6S1P, Złącze: XT60H</t>
  </si>
  <si>
    <t>Gemfan Flash 7040-3</t>
  </si>
  <si>
    <t>GEMFAN LR7035 7X3.5X2 BI-BLADE 7″ PROPELLER 1.5MM BLACK</t>
  </si>
  <si>
    <t>CX10 ECO Zestaw ramy 10"</t>
  </si>
  <si>
    <t>T-Motor VELOX 3115 900KV</t>
  </si>
  <si>
    <t>ESC 4in1 T-Motor F60A 8s Mini 20x20</t>
  </si>
  <si>
    <t>Cube Orange+ Standard ADS-B ProfiCNC / Hex</t>
  </si>
  <si>
    <t>ProfiCNC/HEX Here4 Multiband RTK GNSS</t>
  </si>
  <si>
    <t>LiPo Tattu 16000mAh 22.2V 30C 6S1P</t>
  </si>
  <si>
    <t>FPV Camera CaddxFPV Ratel 2 (Night Version)</t>
  </si>
  <si>
    <t xml:space="preserve">RCDrone 5.8G 4W 48CH VTX </t>
  </si>
  <si>
    <t>Walksnail Avatar HD Pro Kit 32GB (Dual)</t>
  </si>
  <si>
    <t>ImmersionRC SpiroNET Patch Antenna 5.8GHz 8DBi RCHP</t>
  </si>
  <si>
    <t xml:space="preserve">Radiomaster XR3 Nano Multi-Frequency Antenna Diversity ExpressLRS	</t>
  </si>
  <si>
    <t>CNHL Black 1500mAh 22.2V 130C 6S XT60</t>
  </si>
  <si>
    <t>APC 10×4,5 MR Multirotor</t>
  </si>
  <si>
    <t>RadioMaster TX16S MK3 MAX AG02 2,4 GHz ELRS</t>
  </si>
  <si>
    <t>CADDXFPV Walksnail Avatar HD X</t>
  </si>
  <si>
    <t>CADDXFPV Walksnail Avatar Repeater</t>
  </si>
  <si>
    <t xml:space="preserve">1005BAC </t>
  </si>
  <si>
    <t>Statyw Manfrotto RANKER 118 – 273cm - 1005BAC</t>
  </si>
  <si>
    <t>DOWOLNA ognioodporna torba (np. z linka STARTRC) do ładowania akumulatorów. Jedny wymóg to spory rozmiar (np. STARTRC z linka)</t>
  </si>
  <si>
    <t>Filament Bambu Lab PETG HF</t>
  </si>
  <si>
    <t>Filament Bambu Lab ABS</t>
  </si>
  <si>
    <t>Zasilacz dużej mocy do zabudowy RSP-1000 MEAN WELL</t>
  </si>
  <si>
    <t>iCharger 4010 DUO ładowarka 2000W 2x40A LiPo 2x10s</t>
  </si>
  <si>
    <t>https://www.tme.eu/pl/details/sc230207/narzedzia-pomiarowe/scala/230-207-x/</t>
  </si>
  <si>
    <t>SCALA</t>
  </si>
  <si>
    <t>230.207-X</t>
  </si>
  <si>
    <t>Dowolna precyzyjna suwmiarka cyfrowa o długości 150mm, orientacyjna dokładność pomiaru 
0,01mm, ±0,0005" (np. dostępna pod linkiem)</t>
  </si>
  <si>
    <t>Taśma elektroizolacyjna</t>
  </si>
  <si>
    <t>165BK5E TEMFLEX</t>
  </si>
  <si>
    <t>3M-TF-165-19-20BK</t>
  </si>
  <si>
    <t>https://www.tme.eu/pl/details/3m-tf-165-19-20bk/tasmy-izolacyjne/3m/165bk5e-temflex/?brutto=1&amp;currency=PLN&amp;utm_source=google&amp;utm_medium=cpc&amp;utm_campaign=Wyposa%C5%BCenie%20PL%20%5BPLA%5D%20CSS%20Segment_A&amp;utm_content=&amp;campaign_id=11197053318&amp;gad_source=1&amp;gad_campaignid=11197053318&amp;gbraid=0AAAAADyylhJKx_T54eo1_Gn_xhES_HRTC&amp;gclid=CjwKCAiAnoXNBhAZEiwAnItcGwax7CVKeUo0KOZgjBTEXquimL8OZdXlR2YOEw1nl1qHq88RMg3m_hoCLGwQAvD_BwE</t>
  </si>
  <si>
    <t>Taśma izolacyjna, czarna, W: 19mm; L: 20m; Thk: 0,152mm</t>
  </si>
  <si>
    <t xml:space="preserve">Mikroguma </t>
  </si>
  <si>
    <t>https://abc-rc.pl/pl/products/10x-mikroguma-dwustronna-2mm-55x45mm-biala-podkladka-piankowa-z-klejem-18701.html</t>
  </si>
  <si>
    <t>18701</t>
  </si>
  <si>
    <t>ABC-RC</t>
  </si>
  <si>
    <t>Mikroguma Dwustronna 2mm 55x45mm Biała Podkładka Piankowa z Klejem</t>
  </si>
  <si>
    <t>Taśma VHB</t>
  </si>
  <si>
    <t>https://abc-rc.pl/pl/products/tasma-dwustronna-3m-vhb-10mmx3m-mocna-montazowa-gr-0-8mm-20378.html</t>
  </si>
  <si>
    <t>Taśma dwustronna 3M VHB - 10mmx3m mocna - montażowa - gr 0,8mm</t>
  </si>
  <si>
    <t>3m</t>
  </si>
  <si>
    <t>https://abc-rc.pl/pl/products/tasma-miedziana-samoprzylepna-emi-50mm-1mb-do-ekranowania-elektroniki-20293.html?query_id=2</t>
  </si>
  <si>
    <t>20293</t>
  </si>
  <si>
    <t>Taśma Miedziana Samoprzylepna EMI 50mm 1mb do Ekranowania Elektroniki</t>
  </si>
  <si>
    <t>STM32F4DIS-WIFi - Discovery WiFi</t>
  </si>
  <si>
    <t xml:space="preserve">płytka prototypowa1    </t>
  </si>
  <si>
    <t>Tuleje termokurczliwe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</si>
</sst>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* #,##0\ &quot;zł&quot;_-;\-* #,##0\ &quot;zł&quot;_-;_-* &quot;-&quot;\ &quot;zł&quot;_-;_-@_-"/>
    <numFmt numFmtId="44" formatCode="_-* #,##0.00\ &quot;zł&quot;_-;\-* #,##0.00\ &quot;zł&quot;_-;_-* &quot;-&quot;??\ &quot;zł&quot;_-;_-@_-"/>
    <numFmt numFmtId="164" formatCode="_-* #,##0_-;\-* #,##0_-;_-* &quot;-&quot;_-;_-@_-"/>
    <numFmt numFmtId="165" formatCode="_-* #,##0.00_-;\-* #,##0.00_-;_-* &quot;-&quot;??_-;_-@_-"/>
  </numFmts>
  <fonts count="8" x14ac:knownFonts="1">
    <font>
      <sz val="11"/>
      <color theme="1"/>
      <name val="Calibri"/>
      <family val="2"/>
    </font>
    <font>
      <sz val="10"/>
      <color theme="1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</font>
    <font>
      <sz val="11"/>
      <name val="Calibri"/>
      <family val="2"/>
      <charset val="238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9">
    <xf numFmtId="0" fontId="0" fillId="0" borderId="0">
      <alignment vertical="top"/>
    </xf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</xf>
    <xf numFmtId="0" fontId="3" fillId="0" borderId="0">
      <alignment vertical="top"/>
    </xf>
    <xf numFmtId="0" fontId="6" fillId="0" borderId="0" applyNumberFormat="0" applyFill="0" applyBorder="0" applyAlignment="0" applyProtection="0"/>
  </cellStyleXfs>
  <cellXfs count="31">
    <xf numFmtId="0" fontId="0" fillId="0" borderId="0" xfId="0" applyAlignment="1">
      <alignment vertical="top"/>
    </xf>
    <xf numFmtId="0" fontId="3" fillId="0" borderId="0" xfId="7">
      <alignment vertical="top"/>
    </xf>
    <xf numFmtId="49" fontId="3" fillId="0" borderId="0" xfId="7" applyNumberFormat="1">
      <alignment vertical="top"/>
    </xf>
    <xf numFmtId="2" fontId="3" fillId="0" borderId="0" xfId="7" applyNumberFormat="1">
      <alignment vertical="top"/>
    </xf>
    <xf numFmtId="0" fontId="0" fillId="0" borderId="0" xfId="0" applyAlignment="1"/>
    <xf numFmtId="49" fontId="0" fillId="0" borderId="0" xfId="0" applyNumberFormat="1" applyAlignment="1"/>
    <xf numFmtId="0" fontId="3" fillId="2" borderId="0" xfId="7" applyFill="1">
      <alignment vertical="top"/>
    </xf>
    <xf numFmtId="49" fontId="2" fillId="2" borderId="0" xfId="7" applyNumberFormat="1" applyFont="1" applyFill="1">
      <alignment vertical="top"/>
    </xf>
    <xf numFmtId="0" fontId="3" fillId="3" borderId="0" xfId="7" applyFill="1">
      <alignment vertical="top"/>
    </xf>
    <xf numFmtId="2" fontId="0" fillId="0" borderId="0" xfId="0" applyNumberFormat="1" applyAlignment="1"/>
    <xf numFmtId="0" fontId="5" fillId="0" borderId="0" xfId="0" applyFont="1" applyBorder="1" applyAlignment="1">
      <alignment readingOrder="1"/>
    </xf>
    <xf numFmtId="49" fontId="0" fillId="0" borderId="0" xfId="0" applyNumberFormat="1" applyBorder="1" applyAlignment="1"/>
    <xf numFmtId="0" fontId="0" fillId="0" borderId="0" xfId="0" applyBorder="1" applyAlignment="1"/>
    <xf numFmtId="2" fontId="5" fillId="0" borderId="0" xfId="0" applyNumberFormat="1" applyFont="1" applyBorder="1" applyAlignment="1">
      <alignment readingOrder="1"/>
    </xf>
    <xf numFmtId="2" fontId="0" fillId="0" borderId="0" xfId="0" applyNumberFormat="1" applyBorder="1" applyAlignment="1"/>
    <xf numFmtId="0" fontId="6" fillId="0" borderId="0" xfId="8"/>
    <xf numFmtId="0" fontId="0" fillId="0" borderId="0" xfId="0" applyAlignment="1">
      <alignment horizontal="center"/>
    </xf>
    <xf numFmtId="0" fontId="5" fillId="3" borderId="0" xfId="0" applyFont="1" applyFill="1" applyBorder="1" applyAlignment="1">
      <alignment readingOrder="1"/>
    </xf>
    <xf numFmtId="2" fontId="5" fillId="3" borderId="0" xfId="0" applyNumberFormat="1" applyFont="1" applyFill="1" applyBorder="1" applyAlignment="1">
      <alignment readingOrder="1"/>
    </xf>
    <xf numFmtId="2" fontId="5" fillId="0" borderId="0" xfId="0" applyNumberFormat="1" applyFont="1" applyBorder="1" applyAlignment="1">
      <alignment wrapText="1" readingOrder="1"/>
    </xf>
    <xf numFmtId="1" fontId="0" fillId="0" borderId="0" xfId="0" applyNumberFormat="1" applyBorder="1" applyAlignment="1"/>
    <xf numFmtId="0" fontId="4" fillId="0" borderId="0" xfId="6" applyAlignment="1"/>
    <xf numFmtId="0" fontId="6" fillId="0" borderId="0" xfId="8" applyFill="1" applyBorder="1" applyAlignment="1"/>
    <xf numFmtId="0" fontId="7" fillId="0" borderId="0" xfId="8" applyFont="1"/>
    <xf numFmtId="0" fontId="5" fillId="0" borderId="0" xfId="0" applyFont="1" applyFill="1" applyBorder="1" applyAlignment="1">
      <alignment readingOrder="1"/>
    </xf>
    <xf numFmtId="0" fontId="0" fillId="2" borderId="0" xfId="7" applyFont="1" applyFill="1">
      <alignment vertical="top"/>
    </xf>
    <xf numFmtId="16" fontId="0" fillId="0" borderId="0" xfId="0" applyNumberFormat="1" applyAlignment="1">
      <alignment vertical="top"/>
    </xf>
    <xf numFmtId="1" fontId="0" fillId="0" borderId="0" xfId="0" applyNumberFormat="1" applyAlignment="1">
      <alignment vertical="top"/>
    </xf>
    <xf numFmtId="49" fontId="0" fillId="4" borderId="0" xfId="0" applyNumberFormat="1" applyFill="1" applyAlignment="1"/>
    <xf numFmtId="1" fontId="0" fillId="0" borderId="0" xfId="0" applyNumberFormat="1" applyBorder="1" applyAlignment="1">
      <alignment wrapText="1"/>
    </xf>
    <xf numFmtId="0" fontId="5" fillId="5" borderId="0" xfId="0" applyFont="1" applyFill="1" applyBorder="1" applyAlignment="1">
      <alignment readingOrder="1"/>
    </xf>
  </cellXfs>
  <cellStyles count="9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Hiperłącze" xfId="6" builtinId="8"/>
    <cellStyle name="Hyperlink" xfId="8" xr:uid="{B8038778-B8E5-40C3-8011-D6F3A904FC39}"/>
    <cellStyle name="Normal 2" xfId="7" xr:uid="{41F288FD-3CCE-4A61-8460-546DD4EFB6D4}"/>
    <cellStyle name="Normalny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avifly.pl/pl/gogle-fpv/gogle-walksnail-avatar-hd-x" TargetMode="External"/><Relationship Id="rId21" Type="http://schemas.openxmlformats.org/officeDocument/2006/relationships/hyperlink" Target="https://dronavista.pl/pl/6s-22-2v/6813-akumulator-cnhl-1500mah-222v-100c-6s-xt60.html" TargetMode="External"/><Relationship Id="rId34" Type="http://schemas.openxmlformats.org/officeDocument/2006/relationships/hyperlink" Target="https://www.tme.eu/pl/details/ats-082-0028f/maty-stolowe-esd/antistat/082-0028f/" TargetMode="External"/><Relationship Id="rId42" Type="http://schemas.openxmlformats.org/officeDocument/2006/relationships/hyperlink" Target="https://www.icharger.com.pl/icharger-4010-duo-ladowarka-2000w-2x40a-lipo-2x10s-p-211.html" TargetMode="External"/><Relationship Id="rId47" Type="http://schemas.openxmlformats.org/officeDocument/2006/relationships/hyperlink" Target="https://www.tme.eu/pl/details/xt60h-f/zlacza-dc/amass/?brutto=1&amp;currency=PLN&amp;utm_source=google&amp;utm_medium=cpc&amp;utm_campaign=Z%C5%82%C4%85cza%20PL%20%5BPLA%5D%20CSS%20Segment_A&amp;utm_content=&amp;campaign_id=11197053321&amp;gad_source=1&amp;gad_campaignid=11197053321&amp;gbraid=0AAAAADyylhI-p3P-CkPRao-sN0GrOK_eI&amp;gclid=Cj0KCQiA-YvMBhDtARIsAHZuUzL5-5m-C10-sG8oUz9_D3UVTXHk5BQ-gJlsIIPPjtWKyly7bOs0-LAaAizCEALw_wcB" TargetMode="External"/><Relationship Id="rId50" Type="http://schemas.openxmlformats.org/officeDocument/2006/relationships/hyperlink" Target="https://www.bossard.com/pl-pl/eshop/nakretki-szesciokatne/nakretki-szesciokatne-0-5d/p/630/" TargetMode="External"/><Relationship Id="rId55" Type="http://schemas.openxmlformats.org/officeDocument/2006/relationships/hyperlink" Target="https://dronavista.pl/pl/akcesoria-iflight/7640-vifly-shortsaver-v2-smart-smoke-stopper-xt30-xt60.html" TargetMode="External"/><Relationship Id="rId63" Type="http://schemas.openxmlformats.org/officeDocument/2006/relationships/hyperlink" Target="https://botland.com.pl/plytki-uniwersalne/2006-plytka-uniwersalna-jednostronna-50x70mm-5906623442386.html" TargetMode="External"/><Relationship Id="rId7" Type="http://schemas.openxmlformats.org/officeDocument/2006/relationships/hyperlink" Target="https://dronavista.pl/pl/akcesoria-RadioMaster/9348-odbiornik-radiomaster-rp4td-expresslrs-24ghz-true-diversity.html" TargetMode="External"/><Relationship Id="rId2" Type="http://schemas.openxmlformats.org/officeDocument/2006/relationships/hyperlink" Target="https://dronexpert.eu/silnik-t-motor-f90-1300kv-2806-5-long-range-p-14988.html" TargetMode="External"/><Relationship Id="rId16" Type="http://schemas.openxmlformats.org/officeDocument/2006/relationships/hyperlink" Target="https://www.hobbydrone.cz/pl/caddx-ratel-2-night-version/" TargetMode="External"/><Relationship Id="rId29" Type="http://schemas.openxmlformats.org/officeDocument/2006/relationships/hyperlink" Target="https://pepita.com/pl/akcesoria-do-dronow-c5612/ognioodporna-torba-startrc-do-ladowania-akumulatorow-do-dronow-dji-mini-i-dji-air-odporna-na-ogien-i-wode-p15004589" TargetMode="External"/><Relationship Id="rId11" Type="http://schemas.openxmlformats.org/officeDocument/2006/relationships/hyperlink" Target="https://iflight-rc.eu/pl-pl/products/cx10-frame-kit?_pos=2&amp;_fid=ba45b79ab&amp;_ss=c" TargetMode="External"/><Relationship Id="rId24" Type="http://schemas.openxmlformats.org/officeDocument/2006/relationships/hyperlink" Target="https://www.autodesk.com/pl/products/fusion-360" TargetMode="External"/><Relationship Id="rId32" Type="http://schemas.openxmlformats.org/officeDocument/2006/relationships/hyperlink" Target="https://www.tme.eu/pl/details/soldabsorb25x15_1/tasmy-rozlutowujace/kontakt-chemie/33398-aa/" TargetMode="External"/><Relationship Id="rId37" Type="http://schemas.openxmlformats.org/officeDocument/2006/relationships/hyperlink" Target="https://www.tme.eu/pl/details/knp.7861125/szczypce-do-ciecia/knipex/78-61-125/" TargetMode="External"/><Relationship Id="rId40" Type="http://schemas.openxmlformats.org/officeDocument/2006/relationships/hyperlink" Target="https://www.conrad.pl/pl/p/wkretak-imbusowy-wera-354-05023107001-2-5-mm-817257.html?experience=b2c&amp;gclsrc=aw.ds&amp;&amp;qwer=Cj0KCQiA-YvMBhDtARIsAHZuUzLgVBandcZLPFloZWAUQSzqsJ2aXiJmPkrGIhN75U06CKYReIe4f80aAoPgEALw_wcB&amp;utm_source=google&amp;utm_medium=cpc&amp;utm_campaign=PL+-+PMAX+-+NonBrand+-+High+3_&amp;utm_id=21864643648&amp;gad_source=1&amp;gad_campaignid=21860786093&amp;gbraid=0AAAAADj8Oy6O1vBWOn1aXqoPm-S-eOIgg&amp;gclid=Cj0KCQiA-YvMBhDtARIsAHZuUzLgVBandcZLPFloZWAUQSzqsJ2aXiJmPkrGIhN75U06CKYReIe4f80aAoPgEALw_wcB" TargetMode="External"/><Relationship Id="rId45" Type="http://schemas.openxmlformats.org/officeDocument/2006/relationships/hyperlink" Target="https://kamami.pl/zlacza-adaptery/1183839-przewod-gniazdo-xt60-wtyki-bananowe-20-cm-5906623447077.html" TargetMode="External"/><Relationship Id="rId53" Type="http://schemas.openxmlformats.org/officeDocument/2006/relationships/hyperlink" Target="https://www.bossard.com/pl-pl/eshop/podkladki-plaskie-bez-fazy/podkladki-bez-fazy/p/671/" TargetMode="External"/><Relationship Id="rId58" Type="http://schemas.openxmlformats.org/officeDocument/2006/relationships/hyperlink" Target="https://abc-rc.pl/pl/products/tasma-dwustronna-3m-vhb-10mmx3m-mocna-montazowa-gr-0-8mm-20378.html" TargetMode="External"/><Relationship Id="rId66" Type="http://schemas.openxmlformats.org/officeDocument/2006/relationships/hyperlink" Target="https://allegro.pl/oferta/zestaw-uklady-scalone-z-gniazdami-wzmacniacz-operacyjny-oscylator-17182233270" TargetMode="External"/><Relationship Id="rId5" Type="http://schemas.openxmlformats.org/officeDocument/2006/relationships/hyperlink" Target="https://dronexpert.eu/smigla-gemfan-flash-7040-3-p-15342.html" TargetMode="External"/><Relationship Id="rId61" Type="http://schemas.openxmlformats.org/officeDocument/2006/relationships/hyperlink" Target="https://abc-rc.pl/pl/products/10x-mikroguma-dwustronna-2mm-55x45mm-biala-podkladka-piankowa-z-klejem-18701.html" TargetMode="External"/><Relationship Id="rId19" Type="http://schemas.openxmlformats.org/officeDocument/2006/relationships/hyperlink" Target="https://dronavista.pl/pl/anteny-fpv/1467-antena-panelowa-58ghz-8dbi-rhcp-sma-immersionrc.html" TargetMode="External"/><Relationship Id="rId14" Type="http://schemas.openxmlformats.org/officeDocument/2006/relationships/hyperlink" Target="https://www.drony.net/proficnc-hex-here4-multiband-rtk-gnss.html" TargetMode="External"/><Relationship Id="rId22" Type="http://schemas.openxmlformats.org/officeDocument/2006/relationships/hyperlink" Target="https://modelarski.com/produkt/smiglo-10x45-apc-mr/" TargetMode="External"/><Relationship Id="rId27" Type="http://schemas.openxmlformats.org/officeDocument/2006/relationships/hyperlink" Target="https://www.bemixmedia.pl/produkt/statyw-manfrotto-ranker-118-273cm/" TargetMode="External"/><Relationship Id="rId30" Type="http://schemas.openxmlformats.org/officeDocument/2006/relationships/hyperlink" Target="https://get3d.pl/filamenty/filament-bambu-lab-petg-hf" TargetMode="External"/><Relationship Id="rId35" Type="http://schemas.openxmlformats.org/officeDocument/2006/relationships/hyperlink" Target="https://www.tme.eu/pl/details/pg-k5-t1d/pesety-esd/piergiacomi/k5-t1d/" TargetMode="External"/><Relationship Id="rId43" Type="http://schemas.openxmlformats.org/officeDocument/2006/relationships/hyperlink" Target="https://www.elmark.com.pl/sklep/mean-well/zasilacz-duzej-mocy-rsp-1000" TargetMode="External"/><Relationship Id="rId48" Type="http://schemas.openxmlformats.org/officeDocument/2006/relationships/hyperlink" Target="https://www.bossard.com/pl-pl/eshop/sruby-i-wkrety-z-napedem-wewnetrznym/sruby-z-lbem-walcowym-z-gniazdem-szesciokarbowym/p/20146/" TargetMode="External"/><Relationship Id="rId56" Type="http://schemas.openxmlformats.org/officeDocument/2006/relationships/hyperlink" Target="https://erli.pl/produkt/loolifl-243-klej-anaerobowy-do-srub-o-sredniej-wytrzymalosci-10-ml,244961483?xid=zhZukSAb2Mr0SWLxz1iGJ-BLLTKl4WayF_d4VXG8wjlPGXRK7Jr01ozQRuMxz32fKk4QnSQ&amp;xidv=1&amp;utm_source=skapiec.pl&amp;utm_medium=referral&amp;utm_term=CPC14" TargetMode="External"/><Relationship Id="rId64" Type="http://schemas.openxmlformats.org/officeDocument/2006/relationships/hyperlink" Target="https://www.tme.eu/pl/details/sd-12n/plytki-stykowe/stary-21/" TargetMode="External"/><Relationship Id="rId8" Type="http://schemas.openxmlformats.org/officeDocument/2006/relationships/hyperlink" Target="https://dronavista.pl/pl/6s-22-2v/9136-akumulator-liion-6s-4000mah-iflight.html" TargetMode="External"/><Relationship Id="rId51" Type="http://schemas.openxmlformats.org/officeDocument/2006/relationships/hyperlink" Target="https://allegro.pl/oferta/80x-mocne-podkladki-samoprzylepne-3m-montazowe-tasma-dwustronna-wodoodporna-17978327421?utm_feed=aa34192d-eee2-4419-9a9a-de66b9dfae24&amp;utm_source=google&amp;utm_medium=freelisting&amp;srsltid=AfmBOorf1f-7Ix4eudtc7Ye19ZEl5eVNVAXA85wVLKjQWiDD5hGs3WN9VE0" TargetMode="External"/><Relationship Id="rId3" Type="http://schemas.openxmlformats.org/officeDocument/2006/relationships/hyperlink" Target="https://dronavista.pl/pl/akcesoria-t-motor/6853-kontroler-lotu-t-motor-f7-hd-i-regulator-t-motor-f55a-pro-ii-4w1.html" TargetMode="External"/><Relationship Id="rId12" Type="http://schemas.openxmlformats.org/officeDocument/2006/relationships/hyperlink" Target="https://dronavista.pl/pl/kontrolery-lotu-i-esc/7735-regulator-esc-4in1-t-motor-f60a-8s-mini-20x20.html" TargetMode="External"/><Relationship Id="rId17" Type="http://schemas.openxmlformats.org/officeDocument/2006/relationships/hyperlink" Target="https://rcdrone.top/pl/products/rcdrone-5-8g-4w-48ch-vtx" TargetMode="External"/><Relationship Id="rId25" Type="http://schemas.openxmlformats.org/officeDocument/2006/relationships/hyperlink" Target="https://avifly.pl/pl/gogle-fpv/caddxfpv-walksnail-avatar-repeater" TargetMode="External"/><Relationship Id="rId33" Type="http://schemas.openxmlformats.org/officeDocument/2006/relationships/hyperlink" Target="https://www.tme.eu/pl/details/jbc-du1191/odsysacze-lutownicze/jbc-tools/0119107/" TargetMode="External"/><Relationship Id="rId38" Type="http://schemas.openxmlformats.org/officeDocument/2006/relationships/hyperlink" Target="https://www.tme.eu/pl/details/pc-wz0068/zaciskarki-koncowek-kablowych/logilink/wz0068/" TargetMode="External"/><Relationship Id="rId46" Type="http://schemas.openxmlformats.org/officeDocument/2006/relationships/hyperlink" Target="https://www.tme.eu/pl/details/xt90i-m/zlacza-dc/amass/?brutto=1&amp;currency=PLN&amp;utm_source=google&amp;utm_medium=cpc&amp;utm_campaign=Z%C5%82%C4%85cza%20PL%20%5BPLA%5D%20CSS%20Segment_B&amp;utm_content=&amp;campaign_id=20675111424&amp;gad_source=1&amp;gad_campaignid=20675111424&amp;gbraid=0AAAAADyylhIVM71V4wJfwdpFCKvASWEO8&amp;gclid=Cj0KCQiA-YvMBhDtARIsAHZuUzJRwKDxzzfG57J5AmFXD_ySCwDv0pXdpTAnG-Fq9EKtuwGr2B6AU0kaAkvUEALw_wcB" TargetMode="External"/><Relationship Id="rId59" Type="http://schemas.openxmlformats.org/officeDocument/2006/relationships/hyperlink" Target="https://www.tme.eu/pl/details/sc230207/narzedzia-pomiarowe/scala/230-207-x/" TargetMode="External"/><Relationship Id="rId67" Type="http://schemas.openxmlformats.org/officeDocument/2006/relationships/printerSettings" Target="../printerSettings/printerSettings1.bin"/><Relationship Id="rId20" Type="http://schemas.openxmlformats.org/officeDocument/2006/relationships/hyperlink" Target="https://www.nobshop.pl/odbiornik-radiomaster-xr3-nano-multi-frequency-antenna-diversity-expresslrs-p-4762.html" TargetMode="External"/><Relationship Id="rId41" Type="http://schemas.openxmlformats.org/officeDocument/2006/relationships/hyperlink" Target="https://www.bossard.com/pl-pl/eshop/sruby-i-wkrety-z-napedem-wewnetrznym/sruby-z-lbem-walcowym-z-pelnym-gwintem-z-gniazdem-szesciokarbowym/p/15857/" TargetMode="External"/><Relationship Id="rId54" Type="http://schemas.openxmlformats.org/officeDocument/2006/relationships/hyperlink" Target="https://allegro.pl/oferta/rzep-tasma-na-kable-tesa-organizer-do-kabli-przewodow-5m-x-10-mm-czarny-15150540043" TargetMode="External"/><Relationship Id="rId62" Type="http://schemas.openxmlformats.org/officeDocument/2006/relationships/hyperlink" Target="https://abc-rc.pl/pl/products/tasma-miedziana-samoprzylepna-emi-50mm-1mb-do-ekranowania-elektroniki-20293.html?query_id=2" TargetMode="External"/><Relationship Id="rId1" Type="http://schemas.openxmlformats.org/officeDocument/2006/relationships/hyperlink" Target="https://iflight-rc.eu/pl-pl/products/aos-ul7-v5-fpv-frame-kit" TargetMode="External"/><Relationship Id="rId6" Type="http://schemas.openxmlformats.org/officeDocument/2006/relationships/hyperlink" Target="https://avifly.pl/pl/nadajniki-fpv-vtx/zestaw-walksnail-avatar-gt" TargetMode="External"/><Relationship Id="rId15" Type="http://schemas.openxmlformats.org/officeDocument/2006/relationships/hyperlink" Target="https://dronavista.pl/pl/6s-22-2v/424-akumulator-lipo-tattu-16000mah-222v-30c-6s1p-as150xt150.html" TargetMode="External"/><Relationship Id="rId23" Type="http://schemas.openxmlformats.org/officeDocument/2006/relationships/hyperlink" Target="https://dronavista.pl/pl/radiomaster/11078-aparatura-radiomaster-tx16s-mk3-max-ag02-24-ghz-elrs.html" TargetMode="External"/><Relationship Id="rId28" Type="http://schemas.openxmlformats.org/officeDocument/2006/relationships/hyperlink" Target="https://avifly.pl/pl/lipo-3s/li-pol-lipo-tattu-gens-ace-450mah-111v-75c-3s" TargetMode="External"/><Relationship Id="rId36" Type="http://schemas.openxmlformats.org/officeDocument/2006/relationships/hyperlink" Target="https://www.tme.eu/pl/details/ats-066-0055/opaski-na-reke-esd/antistat/066-0055/" TargetMode="External"/><Relationship Id="rId49" Type="http://schemas.openxmlformats.org/officeDocument/2006/relationships/hyperlink" Target="https://www.bossard.com/pl-pl/eshop/sruby-i-wkrety-z-napedem-wewnetrznym/sruby-stozkowe-z-pelnym-gwintem-z-gniazdem-szesciokarbowym/p/3803/" TargetMode="External"/><Relationship Id="rId57" Type="http://schemas.openxmlformats.org/officeDocument/2006/relationships/hyperlink" Target="https://www.mediaexpert.pl/foto-i-kamery/akcesoria-do-aparatow-i-kamer/karty-pamieci/karta-pamieci-32-gb-sandisk-microsd-high-endurance-monitoring-183565?gad_source=1&amp;gad_campaignid=11301062048&amp;gbraid=0AAAAADoIO6_xD8Yl8-4ntkCTKjCqhxFVS&amp;gclid=Cj0KCQiA-YvMBhDtARIsAHZuUzIC5_iRh5B3wOoG_LGrebS7QMAI83OPxtTyB1lTwLwCVJ9WZt9GrhgaAjHmEALw_wcB" TargetMode="External"/><Relationship Id="rId10" Type="http://schemas.openxmlformats.org/officeDocument/2006/relationships/hyperlink" Target="https://www.hobbydrone.cz/pl/t-motor-velox-3115-900kv/" TargetMode="External"/><Relationship Id="rId31" Type="http://schemas.openxmlformats.org/officeDocument/2006/relationships/hyperlink" Target="https://get3d.pl/filamenty/filament-bambu-lab-abs" TargetMode="External"/><Relationship Id="rId44" Type="http://schemas.openxmlformats.org/officeDocument/2006/relationships/hyperlink" Target="https://dronavista.pl/pl/akcesoria-iflight/7907-buzzer-z-zasilaniem-100db-vifly-finder-2.html" TargetMode="External"/><Relationship Id="rId52" Type="http://schemas.openxmlformats.org/officeDocument/2006/relationships/hyperlink" Target="https://www.bossard.com/pl-pl/eshop/wciskane-wkladki-gwintowane-do-tworzyw-sztucznych/wkladki-gwintowane-do-osadzania-na-goraco-lub-ultradzwiekowego-bez-lba-radelkowane-zaokraglone-typu-s-do-tworzyw-termoplastycznych/p/1934/" TargetMode="External"/><Relationship Id="rId60" Type="http://schemas.openxmlformats.org/officeDocument/2006/relationships/hyperlink" Target="https://www.tme.eu/pl/details/3m-tf-165-19-20bk/tasmy-izolacyjne/3m/165bk5e-temflex/?brutto=1&amp;currency=PLN&amp;utm_source=google&amp;utm_medium=cpc&amp;utm_campaign=Wyposa%C5%BCenie%20PL%20%5BPLA%5D%20CSS%20Segment_A&amp;utm_content=&amp;campaign_id=11197053318&amp;gad_source=1&amp;gad_campaignid=11197053318&amp;gbraid=0AAAAADyylhJKx_T54eo1_Gn_xhES_HRTC&amp;gclid=CjwKCAiAnoXNBhAZEiwAnItcGwax7CVKeUo0KOZgjBTEXquimL8OZdXlR2YOEw1nl1qHq88RMg3m_hoCLGwQAvD_BwE" TargetMode="External"/><Relationship Id="rId65" Type="http://schemas.openxmlformats.org/officeDocument/2006/relationships/hyperlink" Target="https://botland.com.pl/plytki-uniwersalne/5738-plytka-uniwersalna-dwustronna-30x70mm-5901574000305.html" TargetMode="External"/><Relationship Id="rId4" Type="http://schemas.openxmlformats.org/officeDocument/2006/relationships/hyperlink" Target="https://avifly.pl/pl/kontrolery-lotu-fc/t-motor-f7-pro" TargetMode="External"/><Relationship Id="rId9" Type="http://schemas.openxmlformats.org/officeDocument/2006/relationships/hyperlink" Target="https://www.nobshop.pl/gps-matek-m10-z-kompasem-qmc5883-p-3723.html" TargetMode="External"/><Relationship Id="rId13" Type="http://schemas.openxmlformats.org/officeDocument/2006/relationships/hyperlink" Target="https://www.drony.net/orange-cube-plus-standard-ads-b-proficnc-hex.html" TargetMode="External"/><Relationship Id="rId18" Type="http://schemas.openxmlformats.org/officeDocument/2006/relationships/hyperlink" Target="https://dronavista.pl/pl/nadajniki-fpv/9293-walksnail-avatar-hd-pro-kit-32gb.html" TargetMode="External"/><Relationship Id="rId39" Type="http://schemas.openxmlformats.org/officeDocument/2006/relationships/hyperlink" Target="https://www.flycamdrones.com/product/gemfan-lr7035-7x3-5x2-bi-blade-7-propeller-1-5mm-black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105"/>
  <sheetViews>
    <sheetView tabSelected="1" topLeftCell="A56" zoomScale="79" zoomScaleNormal="79" workbookViewId="0">
      <selection activeCell="A79" sqref="A79"/>
    </sheetView>
  </sheetViews>
  <sheetFormatPr defaultRowHeight="14.5" x14ac:dyDescent="0.35"/>
  <cols>
    <col min="1" max="1" width="51.81640625" bestFit="1" customWidth="1"/>
    <col min="2" max="5" width="16.08984375" customWidth="1"/>
    <col min="6" max="6" width="8.6328125" customWidth="1"/>
    <col min="7" max="7" width="17" customWidth="1"/>
    <col min="8" max="8" width="5" bestFit="1" customWidth="1"/>
    <col min="9" max="9" width="10.453125" customWidth="1"/>
    <col min="10" max="10" width="11.6328125" customWidth="1"/>
    <col min="11" max="11" width="7.453125" bestFit="1" customWidth="1"/>
    <col min="12" max="12" width="18.54296875" customWidth="1"/>
    <col min="13" max="13" width="33.36328125" customWidth="1"/>
    <col min="14" max="14" width="11.36328125" customWidth="1"/>
    <col min="15" max="15" width="7.54296875" customWidth="1"/>
    <col min="16" max="16" width="10.6328125" customWidth="1"/>
    <col min="17" max="17" width="20.90625" customWidth="1"/>
    <col min="18" max="18" width="33.08984375" customWidth="1"/>
    <col min="19" max="19" width="20.54296875" customWidth="1"/>
    <col min="20" max="20" width="10.08984375" customWidth="1"/>
    <col min="21" max="21" width="16" customWidth="1"/>
    <col min="22" max="22" width="14.1796875" style="27" bestFit="1" customWidth="1"/>
  </cols>
  <sheetData>
    <row r="1" spans="1:24" x14ac:dyDescent="0.35">
      <c r="A1" s="1" t="s">
        <v>13</v>
      </c>
      <c r="B1" s="2" t="s">
        <v>13</v>
      </c>
      <c r="C1" s="1" t="s">
        <v>13</v>
      </c>
      <c r="D1" s="1" t="s">
        <v>12</v>
      </c>
      <c r="E1" s="1" t="s">
        <v>13</v>
      </c>
      <c r="F1" s="1" t="s">
        <v>12</v>
      </c>
      <c r="G1" s="1" t="s">
        <v>13</v>
      </c>
      <c r="H1" s="1" t="s">
        <v>13</v>
      </c>
      <c r="I1" s="1" t="s">
        <v>13</v>
      </c>
      <c r="J1" s="1" t="s">
        <v>13</v>
      </c>
      <c r="K1" s="3" t="s">
        <v>12</v>
      </c>
      <c r="L1" s="1" t="s">
        <v>13</v>
      </c>
      <c r="M1" s="4"/>
      <c r="N1" s="5"/>
    </row>
    <row r="2" spans="1:24" x14ac:dyDescent="0.35">
      <c r="A2" s="6" t="s">
        <v>0</v>
      </c>
      <c r="B2" s="7" t="s">
        <v>1</v>
      </c>
      <c r="C2" s="6" t="s">
        <v>2</v>
      </c>
      <c r="D2" s="8" t="s">
        <v>10</v>
      </c>
      <c r="E2" s="6" t="s">
        <v>3</v>
      </c>
      <c r="F2" s="8" t="s">
        <v>11</v>
      </c>
      <c r="G2" s="6" t="s">
        <v>4</v>
      </c>
      <c r="H2" s="6" t="s">
        <v>5</v>
      </c>
      <c r="I2" s="6" t="s">
        <v>6</v>
      </c>
      <c r="J2" s="6" t="s">
        <v>9</v>
      </c>
      <c r="K2" s="3" t="s">
        <v>7</v>
      </c>
      <c r="L2" s="25" t="s">
        <v>8</v>
      </c>
      <c r="M2" s="6" t="s">
        <v>14</v>
      </c>
      <c r="N2" s="28" t="s">
        <v>295</v>
      </c>
    </row>
    <row r="3" spans="1:24" x14ac:dyDescent="0.35">
      <c r="A3" s="4"/>
      <c r="B3" s="5"/>
      <c r="C3" s="4" t="s">
        <v>294</v>
      </c>
      <c r="D3" s="4"/>
      <c r="E3" s="4"/>
      <c r="F3" s="4"/>
      <c r="G3" s="4"/>
      <c r="H3" s="4"/>
      <c r="I3" s="4"/>
      <c r="J3" s="4"/>
      <c r="K3" s="9"/>
      <c r="L3" s="4"/>
      <c r="M3" s="4"/>
      <c r="N3" s="5"/>
    </row>
    <row r="4" spans="1:24" x14ac:dyDescent="0.35">
      <c r="A4" s="4"/>
      <c r="B4" s="5"/>
      <c r="C4" s="4"/>
      <c r="D4" s="4"/>
      <c r="E4" s="4"/>
      <c r="F4" s="4"/>
      <c r="G4" s="4"/>
      <c r="H4" s="4"/>
      <c r="I4" s="4"/>
      <c r="J4" s="4"/>
      <c r="K4" s="9"/>
      <c r="L4" s="4"/>
      <c r="M4" s="4"/>
      <c r="N4" s="5"/>
    </row>
    <row r="5" spans="1:24" x14ac:dyDescent="0.35">
      <c r="A5" s="10" t="s">
        <v>15</v>
      </c>
      <c r="B5" s="27">
        <v>6976100363222</v>
      </c>
      <c r="C5" t="s">
        <v>246</v>
      </c>
      <c r="D5" t="s">
        <v>245</v>
      </c>
      <c r="E5" s="12"/>
      <c r="F5" t="s">
        <v>244</v>
      </c>
      <c r="G5" s="10">
        <v>4</v>
      </c>
      <c r="H5" s="12" t="s">
        <v>17</v>
      </c>
      <c r="I5" s="13">
        <v>490</v>
      </c>
      <c r="J5" s="12"/>
      <c r="K5" s="14">
        <f>G5*I5</f>
        <v>1960</v>
      </c>
      <c r="L5" s="15" t="s">
        <v>18</v>
      </c>
      <c r="M5" s="16" t="s">
        <v>19</v>
      </c>
      <c r="N5" s="5" t="s">
        <v>296</v>
      </c>
    </row>
    <row r="6" spans="1:24" x14ac:dyDescent="0.35">
      <c r="A6" s="10" t="s">
        <v>20</v>
      </c>
      <c r="B6" s="27"/>
      <c r="D6" t="s">
        <v>21</v>
      </c>
      <c r="E6" s="12"/>
      <c r="G6" s="10">
        <v>6</v>
      </c>
      <c r="H6" s="12" t="s">
        <v>17</v>
      </c>
      <c r="I6" s="13">
        <v>115</v>
      </c>
      <c r="J6" s="12"/>
      <c r="K6" s="14">
        <f t="shared" ref="K6:K69" si="0">G6*I6</f>
        <v>690</v>
      </c>
      <c r="L6" s="15" t="s">
        <v>22</v>
      </c>
      <c r="M6" s="16" t="s">
        <v>23</v>
      </c>
      <c r="N6" s="5" t="s">
        <v>297</v>
      </c>
    </row>
    <row r="7" spans="1:24" x14ac:dyDescent="0.35">
      <c r="A7" s="10" t="s">
        <v>24</v>
      </c>
      <c r="B7" s="27">
        <v>6971318484192</v>
      </c>
      <c r="C7" t="s">
        <v>247</v>
      </c>
      <c r="D7" t="s">
        <v>21</v>
      </c>
      <c r="E7" s="12"/>
      <c r="F7" t="s">
        <v>190</v>
      </c>
      <c r="G7" s="10">
        <v>4</v>
      </c>
      <c r="H7" s="12" t="s">
        <v>17</v>
      </c>
      <c r="I7" s="13">
        <v>381</v>
      </c>
      <c r="J7" s="12"/>
      <c r="K7" s="14">
        <f t="shared" si="0"/>
        <v>1524</v>
      </c>
      <c r="L7" s="15" t="s">
        <v>25</v>
      </c>
      <c r="M7" s="16" t="s">
        <v>23</v>
      </c>
      <c r="N7" s="5" t="s">
        <v>298</v>
      </c>
    </row>
    <row r="8" spans="1:24" x14ac:dyDescent="0.35">
      <c r="A8" s="10" t="s">
        <v>26</v>
      </c>
      <c r="B8" s="27">
        <v>6971318485939</v>
      </c>
      <c r="C8" t="s">
        <v>249</v>
      </c>
      <c r="D8" t="s">
        <v>21</v>
      </c>
      <c r="E8" s="12"/>
      <c r="F8" t="s">
        <v>248</v>
      </c>
      <c r="G8" s="10">
        <v>4</v>
      </c>
      <c r="H8" s="12" t="s">
        <v>17</v>
      </c>
      <c r="I8" s="13">
        <v>428</v>
      </c>
      <c r="J8" s="12"/>
      <c r="K8" s="14">
        <f t="shared" si="0"/>
        <v>1712</v>
      </c>
      <c r="L8" s="15" t="s">
        <v>27</v>
      </c>
      <c r="M8" s="16" t="s">
        <v>23</v>
      </c>
      <c r="N8" s="5" t="s">
        <v>299</v>
      </c>
    </row>
    <row r="9" spans="1:24" x14ac:dyDescent="0.35">
      <c r="A9" s="24" t="s">
        <v>28</v>
      </c>
      <c r="B9" s="27">
        <v>6014498522345</v>
      </c>
      <c r="C9" t="s">
        <v>252</v>
      </c>
      <c r="D9" t="s">
        <v>251</v>
      </c>
      <c r="E9" s="12"/>
      <c r="F9" t="s">
        <v>250</v>
      </c>
      <c r="G9" s="10">
        <v>4</v>
      </c>
      <c r="H9" s="12" t="s">
        <v>17</v>
      </c>
      <c r="I9" s="13">
        <f>216</f>
        <v>216</v>
      </c>
      <c r="J9" s="12"/>
      <c r="K9" s="14">
        <f t="shared" si="0"/>
        <v>864</v>
      </c>
      <c r="L9" s="15" t="s">
        <v>30</v>
      </c>
      <c r="M9" s="16" t="s">
        <v>23</v>
      </c>
      <c r="N9" s="5" t="s">
        <v>300</v>
      </c>
    </row>
    <row r="10" spans="1:24" x14ac:dyDescent="0.35">
      <c r="A10" s="24" t="s">
        <v>31</v>
      </c>
      <c r="B10" s="27">
        <v>6976100360146</v>
      </c>
      <c r="C10" t="s">
        <v>254</v>
      </c>
      <c r="D10" t="s">
        <v>253</v>
      </c>
      <c r="E10" s="12"/>
      <c r="F10" t="s">
        <v>248</v>
      </c>
      <c r="G10" s="17">
        <v>4</v>
      </c>
      <c r="H10" s="12" t="s">
        <v>17</v>
      </c>
      <c r="I10" s="18">
        <v>732</v>
      </c>
      <c r="J10" s="12"/>
      <c r="K10" s="14">
        <f t="shared" si="0"/>
        <v>2928</v>
      </c>
      <c r="L10" s="15" t="s">
        <v>32</v>
      </c>
      <c r="M10" s="16" t="s">
        <v>23</v>
      </c>
      <c r="N10" s="5" t="s">
        <v>301</v>
      </c>
    </row>
    <row r="11" spans="1:24" x14ac:dyDescent="0.35">
      <c r="A11" s="10" t="s">
        <v>33</v>
      </c>
      <c r="B11" s="27">
        <v>6975543360481</v>
      </c>
      <c r="C11" t="s">
        <v>255</v>
      </c>
      <c r="D11" t="s">
        <v>34</v>
      </c>
      <c r="E11" s="12"/>
      <c r="F11" t="s">
        <v>190</v>
      </c>
      <c r="G11" s="10">
        <v>4</v>
      </c>
      <c r="H11" s="12" t="s">
        <v>17</v>
      </c>
      <c r="I11" s="13">
        <v>184</v>
      </c>
      <c r="J11" s="12"/>
      <c r="K11" s="14">
        <f t="shared" si="0"/>
        <v>736</v>
      </c>
      <c r="L11" s="15" t="s">
        <v>35</v>
      </c>
      <c r="M11" s="16" t="s">
        <v>23</v>
      </c>
      <c r="N11" s="5" t="s">
        <v>302</v>
      </c>
    </row>
    <row r="12" spans="1:24" x14ac:dyDescent="0.35">
      <c r="A12" s="10" t="s">
        <v>36</v>
      </c>
      <c r="B12" s="27">
        <v>6976100360870</v>
      </c>
      <c r="C12" t="s">
        <v>256</v>
      </c>
      <c r="D12" t="s">
        <v>16</v>
      </c>
      <c r="E12" s="12"/>
      <c r="F12" t="s">
        <v>190</v>
      </c>
      <c r="G12" s="10">
        <v>12</v>
      </c>
      <c r="H12" s="12" t="s">
        <v>17</v>
      </c>
      <c r="I12" s="13">
        <v>499</v>
      </c>
      <c r="J12" s="12"/>
      <c r="K12" s="14">
        <f t="shared" si="0"/>
        <v>5988</v>
      </c>
      <c r="L12" s="15" t="s">
        <v>37</v>
      </c>
      <c r="M12" s="16" t="s">
        <v>23</v>
      </c>
      <c r="N12" s="5" t="s">
        <v>303</v>
      </c>
    </row>
    <row r="13" spans="1:24" x14ac:dyDescent="0.35">
      <c r="A13" s="10" t="s">
        <v>38</v>
      </c>
      <c r="B13" s="27">
        <v>6936572212285</v>
      </c>
      <c r="C13" t="s">
        <v>258</v>
      </c>
      <c r="D13" t="s">
        <v>40</v>
      </c>
      <c r="E13" s="12"/>
      <c r="F13" t="s">
        <v>257</v>
      </c>
      <c r="G13" s="10">
        <v>4</v>
      </c>
      <c r="H13" s="12" t="s">
        <v>17</v>
      </c>
      <c r="I13" s="13">
        <v>12</v>
      </c>
      <c r="J13" s="12"/>
      <c r="K13" s="14">
        <f t="shared" si="0"/>
        <v>48</v>
      </c>
      <c r="L13" s="15" t="s">
        <v>39</v>
      </c>
      <c r="M13" s="16" t="s">
        <v>19</v>
      </c>
      <c r="N13" s="5" t="s">
        <v>304</v>
      </c>
      <c r="W13" s="26"/>
      <c r="X13" s="26"/>
    </row>
    <row r="14" spans="1:24" x14ac:dyDescent="0.35">
      <c r="A14" s="10" t="s">
        <v>38</v>
      </c>
      <c r="B14" s="27">
        <v>6936572224011</v>
      </c>
      <c r="C14" t="s">
        <v>260</v>
      </c>
      <c r="D14" t="s">
        <v>40</v>
      </c>
      <c r="E14" s="12"/>
      <c r="F14" t="s">
        <v>259</v>
      </c>
      <c r="G14" s="10">
        <v>16</v>
      </c>
      <c r="H14" s="12" t="s">
        <v>17</v>
      </c>
      <c r="I14" s="13">
        <v>10</v>
      </c>
      <c r="J14" s="12"/>
      <c r="K14" s="14">
        <f t="shared" si="0"/>
        <v>160</v>
      </c>
      <c r="L14" s="15" t="s">
        <v>41</v>
      </c>
      <c r="M14" s="16" t="s">
        <v>19</v>
      </c>
      <c r="N14" s="5" t="s">
        <v>305</v>
      </c>
      <c r="W14" s="26"/>
      <c r="X14" s="26"/>
    </row>
    <row r="15" spans="1:24" x14ac:dyDescent="0.35">
      <c r="A15" s="12"/>
      <c r="B15" s="27"/>
      <c r="E15" s="12"/>
      <c r="G15" s="12"/>
      <c r="H15" s="12"/>
      <c r="I15" s="12"/>
      <c r="J15" s="12"/>
      <c r="K15" s="14"/>
      <c r="L15" s="4"/>
      <c r="M15" s="16"/>
      <c r="N15" s="5"/>
      <c r="W15" s="26"/>
      <c r="X15" s="26"/>
    </row>
    <row r="16" spans="1:24" x14ac:dyDescent="0.35">
      <c r="A16" s="12"/>
      <c r="B16" s="27"/>
      <c r="E16" s="12"/>
      <c r="G16" s="12"/>
      <c r="H16" s="12"/>
      <c r="I16" s="12"/>
      <c r="J16" s="12"/>
      <c r="K16" s="14"/>
      <c r="L16" s="4"/>
      <c r="M16" s="16"/>
      <c r="N16" s="5"/>
    </row>
    <row r="17" spans="1:14" x14ac:dyDescent="0.35">
      <c r="A17" s="12"/>
      <c r="B17" s="27"/>
      <c r="E17" s="12"/>
      <c r="G17" s="12"/>
      <c r="H17" s="12"/>
      <c r="I17" s="12"/>
      <c r="J17" s="12"/>
      <c r="K17" s="14"/>
      <c r="L17" s="4"/>
      <c r="M17" s="16"/>
      <c r="N17" s="5"/>
    </row>
    <row r="18" spans="1:14" x14ac:dyDescent="0.35">
      <c r="A18" s="12"/>
      <c r="B18" s="27"/>
      <c r="E18" s="12"/>
      <c r="G18" s="12"/>
      <c r="H18" s="12"/>
      <c r="I18" s="12"/>
      <c r="J18" s="12"/>
      <c r="K18" s="14"/>
      <c r="L18" s="4"/>
      <c r="M18" s="16"/>
      <c r="N18" s="5"/>
    </row>
    <row r="19" spans="1:14" x14ac:dyDescent="0.35">
      <c r="A19" s="12"/>
      <c r="B19" s="27"/>
      <c r="E19" s="12"/>
      <c r="G19" s="12"/>
      <c r="H19" s="12"/>
      <c r="I19" s="12"/>
      <c r="J19" s="12"/>
      <c r="K19" s="14"/>
      <c r="L19" s="4"/>
      <c r="M19" s="16"/>
      <c r="N19" s="5"/>
    </row>
    <row r="20" spans="1:14" x14ac:dyDescent="0.35">
      <c r="A20" s="10" t="s">
        <v>15</v>
      </c>
      <c r="B20" s="27">
        <v>6976100361129</v>
      </c>
      <c r="C20" t="s">
        <v>261</v>
      </c>
      <c r="D20" t="s">
        <v>16</v>
      </c>
      <c r="E20" s="12"/>
      <c r="F20" t="s">
        <v>244</v>
      </c>
      <c r="G20" s="10">
        <v>2</v>
      </c>
      <c r="H20" s="12" t="s">
        <v>17</v>
      </c>
      <c r="I20" s="13">
        <v>553.69000000000005</v>
      </c>
      <c r="J20" s="12"/>
      <c r="K20" s="14">
        <f>G20*I20</f>
        <v>1107.3800000000001</v>
      </c>
      <c r="L20" s="15" t="s">
        <v>42</v>
      </c>
      <c r="M20" s="16" t="s">
        <v>19</v>
      </c>
      <c r="N20" s="5" t="s">
        <v>306</v>
      </c>
    </row>
    <row r="21" spans="1:14" x14ac:dyDescent="0.35">
      <c r="A21" s="10" t="s">
        <v>43</v>
      </c>
      <c r="B21" s="27">
        <v>6971318485014</v>
      </c>
      <c r="C21" t="s">
        <v>263</v>
      </c>
      <c r="D21" t="s">
        <v>21</v>
      </c>
      <c r="E21" s="12"/>
      <c r="F21" t="s">
        <v>262</v>
      </c>
      <c r="G21" s="10">
        <v>8</v>
      </c>
      <c r="H21" s="12" t="s">
        <v>17</v>
      </c>
      <c r="I21" s="13">
        <v>209.9</v>
      </c>
      <c r="J21" s="12"/>
      <c r="K21" s="14">
        <f t="shared" si="0"/>
        <v>1679.2</v>
      </c>
      <c r="L21" s="15" t="s">
        <v>44</v>
      </c>
      <c r="M21" s="16" t="s">
        <v>23</v>
      </c>
      <c r="N21" s="5" t="s">
        <v>307</v>
      </c>
    </row>
    <row r="22" spans="1:14" x14ac:dyDescent="0.35">
      <c r="A22" s="10" t="s">
        <v>24</v>
      </c>
      <c r="B22" s="27">
        <v>6971318480316</v>
      </c>
      <c r="C22" t="s">
        <v>264</v>
      </c>
      <c r="D22" t="s">
        <v>21</v>
      </c>
      <c r="E22" s="12"/>
      <c r="F22" t="s">
        <v>190</v>
      </c>
      <c r="G22" s="10">
        <v>2</v>
      </c>
      <c r="H22" s="12" t="s">
        <v>17</v>
      </c>
      <c r="I22" s="13">
        <f>449/1.23</f>
        <v>365.04065040650408</v>
      </c>
      <c r="J22" s="12"/>
      <c r="K22" s="14">
        <f t="shared" si="0"/>
        <v>730.08130081300817</v>
      </c>
      <c r="L22" s="15" t="s">
        <v>45</v>
      </c>
      <c r="M22" s="16" t="s">
        <v>23</v>
      </c>
      <c r="N22" s="5" t="s">
        <v>308</v>
      </c>
    </row>
    <row r="23" spans="1:14" x14ac:dyDescent="0.35">
      <c r="A23" s="10" t="s">
        <v>26</v>
      </c>
      <c r="B23" s="27">
        <v>702811440026</v>
      </c>
      <c r="C23" t="s">
        <v>267</v>
      </c>
      <c r="D23" t="s">
        <v>266</v>
      </c>
      <c r="E23" s="12"/>
      <c r="F23" t="s">
        <v>265</v>
      </c>
      <c r="G23" s="10">
        <v>3</v>
      </c>
      <c r="H23" s="12" t="s">
        <v>17</v>
      </c>
      <c r="I23" s="13">
        <v>1630</v>
      </c>
      <c r="J23" s="12"/>
      <c r="K23" s="14">
        <f t="shared" si="0"/>
        <v>4890</v>
      </c>
      <c r="L23" s="15" t="s">
        <v>46</v>
      </c>
      <c r="M23" s="16" t="s">
        <v>23</v>
      </c>
      <c r="N23" s="5" t="s">
        <v>309</v>
      </c>
    </row>
    <row r="24" spans="1:14" x14ac:dyDescent="0.35">
      <c r="A24" s="10" t="s">
        <v>47</v>
      </c>
      <c r="B24" s="27">
        <v>702811440040</v>
      </c>
      <c r="C24" t="s">
        <v>268</v>
      </c>
      <c r="D24" t="s">
        <v>266</v>
      </c>
      <c r="E24" s="12"/>
      <c r="F24" t="s">
        <v>265</v>
      </c>
      <c r="G24" s="10">
        <v>2</v>
      </c>
      <c r="H24" s="12" t="s">
        <v>17</v>
      </c>
      <c r="I24" s="13">
        <f>1389/1.23</f>
        <v>1129.2682926829268</v>
      </c>
      <c r="J24" s="12"/>
      <c r="K24" s="14">
        <f t="shared" si="0"/>
        <v>2258.5365853658536</v>
      </c>
      <c r="L24" s="15" t="s">
        <v>48</v>
      </c>
      <c r="M24" s="16" t="s">
        <v>23</v>
      </c>
      <c r="N24" s="5" t="s">
        <v>310</v>
      </c>
    </row>
    <row r="25" spans="1:14" x14ac:dyDescent="0.35">
      <c r="A25" s="10" t="s">
        <v>49</v>
      </c>
      <c r="B25" s="27">
        <v>6928493301012</v>
      </c>
      <c r="C25" t="s">
        <v>269</v>
      </c>
      <c r="D25" t="s">
        <v>50</v>
      </c>
      <c r="E25" s="12"/>
      <c r="F25" t="s">
        <v>190</v>
      </c>
      <c r="G25" s="10">
        <v>3</v>
      </c>
      <c r="H25" s="12" t="s">
        <v>17</v>
      </c>
      <c r="I25" s="13">
        <f>1499/1.23</f>
        <v>1218.69918699187</v>
      </c>
      <c r="J25" s="12"/>
      <c r="K25" s="14">
        <f t="shared" si="0"/>
        <v>3656.0975609756097</v>
      </c>
      <c r="L25" s="15" t="s">
        <v>51</v>
      </c>
      <c r="M25" s="16" t="s">
        <v>23</v>
      </c>
      <c r="N25" s="5" t="s">
        <v>311</v>
      </c>
    </row>
    <row r="26" spans="1:14" x14ac:dyDescent="0.35">
      <c r="A26" s="10" t="s">
        <v>52</v>
      </c>
      <c r="B26" s="27">
        <v>6976100360450</v>
      </c>
      <c r="C26" t="s">
        <v>271</v>
      </c>
      <c r="D26" t="s">
        <v>270</v>
      </c>
      <c r="E26" s="12"/>
      <c r="F26" t="s">
        <v>262</v>
      </c>
      <c r="G26" s="10">
        <v>2</v>
      </c>
      <c r="H26" s="12" t="s">
        <v>17</v>
      </c>
      <c r="I26" s="13">
        <v>152</v>
      </c>
      <c r="J26" s="12"/>
      <c r="K26" s="14">
        <f t="shared" si="0"/>
        <v>304</v>
      </c>
      <c r="L26" s="15" t="s">
        <v>53</v>
      </c>
      <c r="M26" s="16" t="s">
        <v>23</v>
      </c>
      <c r="N26" s="5" t="s">
        <v>312</v>
      </c>
    </row>
    <row r="27" spans="1:14" x14ac:dyDescent="0.35">
      <c r="A27" s="10" t="s">
        <v>54</v>
      </c>
      <c r="B27" s="27"/>
      <c r="C27" t="s">
        <v>272</v>
      </c>
      <c r="D27" t="s">
        <v>55</v>
      </c>
      <c r="E27" s="12"/>
      <c r="F27" t="s">
        <v>55</v>
      </c>
      <c r="G27" s="10">
        <v>2</v>
      </c>
      <c r="H27" s="12" t="s">
        <v>17</v>
      </c>
      <c r="I27" s="13">
        <f>246.48/1.23</f>
        <v>200.39024390243901</v>
      </c>
      <c r="J27" s="12"/>
      <c r="K27" s="14">
        <f t="shared" si="0"/>
        <v>400.78048780487802</v>
      </c>
      <c r="L27" s="15" t="s">
        <v>56</v>
      </c>
      <c r="M27" s="16" t="s">
        <v>23</v>
      </c>
      <c r="N27" s="5" t="s">
        <v>313</v>
      </c>
    </row>
    <row r="28" spans="1:14" x14ac:dyDescent="0.35">
      <c r="A28" s="10" t="s">
        <v>57</v>
      </c>
      <c r="B28" s="27">
        <v>6976100360412</v>
      </c>
      <c r="C28" t="s">
        <v>273</v>
      </c>
      <c r="D28" t="s">
        <v>270</v>
      </c>
      <c r="E28" s="12"/>
      <c r="F28" t="s">
        <v>190</v>
      </c>
      <c r="G28" s="10">
        <v>2</v>
      </c>
      <c r="H28" s="12" t="s">
        <v>17</v>
      </c>
      <c r="I28" s="13">
        <f>699/1.23</f>
        <v>568.29268292682923</v>
      </c>
      <c r="J28" s="12"/>
      <c r="K28" s="14">
        <f t="shared" si="0"/>
        <v>1136.5853658536585</v>
      </c>
      <c r="L28" s="15" t="s">
        <v>58</v>
      </c>
      <c r="M28" s="16" t="s">
        <v>23</v>
      </c>
      <c r="N28" s="5" t="s">
        <v>314</v>
      </c>
    </row>
    <row r="29" spans="1:14" x14ac:dyDescent="0.35">
      <c r="A29" s="10" t="s">
        <v>59</v>
      </c>
      <c r="B29" s="27">
        <v>840635102213</v>
      </c>
      <c r="C29" t="s">
        <v>274</v>
      </c>
      <c r="D29" t="s">
        <v>60</v>
      </c>
      <c r="E29" s="12"/>
      <c r="F29" t="s">
        <v>190</v>
      </c>
      <c r="G29" s="10">
        <v>2</v>
      </c>
      <c r="H29" s="12" t="s">
        <v>17</v>
      </c>
      <c r="I29" s="13">
        <f>119/1.23</f>
        <v>96.747967479674799</v>
      </c>
      <c r="J29" s="12"/>
      <c r="K29" s="14">
        <f t="shared" si="0"/>
        <v>193.4959349593496</v>
      </c>
      <c r="L29" s="15" t="s">
        <v>61</v>
      </c>
      <c r="M29" s="16" t="s">
        <v>23</v>
      </c>
      <c r="N29" s="5" t="s">
        <v>315</v>
      </c>
    </row>
    <row r="30" spans="1:14" x14ac:dyDescent="0.35">
      <c r="A30" s="10" t="s">
        <v>33</v>
      </c>
      <c r="B30" s="27">
        <v>6975543360917</v>
      </c>
      <c r="C30" t="s">
        <v>275</v>
      </c>
      <c r="D30" t="s">
        <v>34</v>
      </c>
      <c r="E30" s="12"/>
      <c r="F30" t="s">
        <v>250</v>
      </c>
      <c r="G30" s="10">
        <v>2</v>
      </c>
      <c r="H30" s="12" t="s">
        <v>17</v>
      </c>
      <c r="I30" s="14">
        <v>121.14</v>
      </c>
      <c r="J30" s="12"/>
      <c r="K30" s="14">
        <f t="shared" si="0"/>
        <v>242.28</v>
      </c>
      <c r="L30" s="15" t="s">
        <v>62</v>
      </c>
      <c r="M30" s="16" t="s">
        <v>23</v>
      </c>
      <c r="N30" s="5" t="s">
        <v>316</v>
      </c>
    </row>
    <row r="31" spans="1:14" x14ac:dyDescent="0.35">
      <c r="A31" s="10" t="s">
        <v>36</v>
      </c>
      <c r="B31" s="27">
        <v>6976100360115</v>
      </c>
      <c r="C31" t="s">
        <v>276</v>
      </c>
      <c r="D31" t="s">
        <v>63</v>
      </c>
      <c r="E31" s="12"/>
      <c r="F31" t="s">
        <v>190</v>
      </c>
      <c r="G31" s="10">
        <v>4</v>
      </c>
      <c r="H31" s="12" t="s">
        <v>17</v>
      </c>
      <c r="I31" s="14">
        <f>149/1.23</f>
        <v>121.13821138211382</v>
      </c>
      <c r="J31" s="12"/>
      <c r="K31" s="14">
        <f t="shared" si="0"/>
        <v>484.55284552845529</v>
      </c>
      <c r="L31" s="15" t="s">
        <v>64</v>
      </c>
      <c r="M31" s="16" t="s">
        <v>23</v>
      </c>
      <c r="N31" s="5" t="s">
        <v>317</v>
      </c>
    </row>
    <row r="32" spans="1:14" x14ac:dyDescent="0.35">
      <c r="A32" s="10" t="s">
        <v>65</v>
      </c>
      <c r="B32" s="27">
        <v>686661100454</v>
      </c>
      <c r="C32" t="s">
        <v>278</v>
      </c>
      <c r="D32" t="s">
        <v>66</v>
      </c>
      <c r="E32" s="12"/>
      <c r="F32" t="s">
        <v>277</v>
      </c>
      <c r="G32" s="10">
        <v>6</v>
      </c>
      <c r="H32" s="12" t="s">
        <v>17</v>
      </c>
      <c r="I32" s="14">
        <f>5*6*18.9/1.23</f>
        <v>460.97560975609758</v>
      </c>
      <c r="J32" s="12"/>
      <c r="K32" s="14">
        <f t="shared" si="0"/>
        <v>2765.8536585365855</v>
      </c>
      <c r="L32" s="15" t="s">
        <v>67</v>
      </c>
      <c r="M32" s="16" t="s">
        <v>19</v>
      </c>
      <c r="N32" s="5" t="s">
        <v>318</v>
      </c>
    </row>
    <row r="33" spans="1:14" x14ac:dyDescent="0.35">
      <c r="A33" s="12"/>
      <c r="B33" s="27"/>
      <c r="E33" s="12"/>
      <c r="G33" s="12"/>
      <c r="H33" s="12"/>
      <c r="I33" s="12"/>
      <c r="J33" s="12"/>
      <c r="K33" s="14"/>
      <c r="L33" s="4"/>
      <c r="M33" s="16"/>
      <c r="N33" s="5"/>
    </row>
    <row r="34" spans="1:14" x14ac:dyDescent="0.35">
      <c r="A34" s="12"/>
      <c r="B34" s="27"/>
      <c r="E34" s="12"/>
      <c r="G34" s="12"/>
      <c r="H34" s="12"/>
      <c r="I34" s="12"/>
      <c r="J34" s="12"/>
      <c r="K34" s="14"/>
      <c r="L34" s="4"/>
      <c r="M34" s="16"/>
      <c r="N34" s="5"/>
    </row>
    <row r="35" spans="1:14" x14ac:dyDescent="0.35">
      <c r="A35" s="12"/>
      <c r="B35" s="27"/>
      <c r="E35" s="12"/>
      <c r="G35" s="12"/>
      <c r="H35" s="12"/>
      <c r="I35" s="12"/>
      <c r="J35" s="12"/>
      <c r="K35" s="14"/>
      <c r="L35" s="4"/>
      <c r="M35" s="16"/>
      <c r="N35" s="5"/>
    </row>
    <row r="36" spans="1:14" x14ac:dyDescent="0.35">
      <c r="A36" s="12"/>
      <c r="B36" s="27"/>
      <c r="E36" s="12"/>
      <c r="G36" s="12"/>
      <c r="H36" s="12"/>
      <c r="I36" s="12"/>
      <c r="J36" s="12"/>
      <c r="K36" s="14"/>
      <c r="L36" s="4"/>
      <c r="M36" s="16"/>
      <c r="N36" s="5"/>
    </row>
    <row r="37" spans="1:14" x14ac:dyDescent="0.35">
      <c r="A37" s="12"/>
      <c r="B37" s="27"/>
      <c r="E37" s="12"/>
      <c r="G37" s="12"/>
      <c r="H37" s="12"/>
      <c r="I37" s="12"/>
      <c r="J37" s="12"/>
      <c r="K37" s="14"/>
      <c r="L37" s="4"/>
      <c r="M37" s="16"/>
      <c r="N37" s="5"/>
    </row>
    <row r="38" spans="1:14" x14ac:dyDescent="0.35">
      <c r="A38" s="10" t="s">
        <v>68</v>
      </c>
      <c r="B38" s="27"/>
      <c r="C38" t="s">
        <v>279</v>
      </c>
      <c r="D38" t="s">
        <v>69</v>
      </c>
      <c r="E38" s="12"/>
      <c r="F38" t="s">
        <v>69</v>
      </c>
      <c r="G38" s="10">
        <v>3</v>
      </c>
      <c r="H38" s="12" t="s">
        <v>70</v>
      </c>
      <c r="I38" s="13">
        <v>2650</v>
      </c>
      <c r="J38" s="12"/>
      <c r="K38" s="14">
        <f t="shared" si="0"/>
        <v>7950</v>
      </c>
      <c r="L38" s="15" t="s">
        <v>71</v>
      </c>
      <c r="M38" s="16" t="s">
        <v>72</v>
      </c>
      <c r="N38" s="5"/>
    </row>
    <row r="39" spans="1:14" x14ac:dyDescent="0.35">
      <c r="A39" s="10" t="s">
        <v>73</v>
      </c>
      <c r="B39" s="27">
        <v>6975543361129</v>
      </c>
      <c r="C39" t="s">
        <v>280</v>
      </c>
      <c r="D39" t="s">
        <v>34</v>
      </c>
      <c r="E39" s="12"/>
      <c r="F39" t="s">
        <v>190</v>
      </c>
      <c r="G39" s="10">
        <v>4</v>
      </c>
      <c r="H39" s="12" t="s">
        <v>17</v>
      </c>
      <c r="I39" s="13">
        <v>1220</v>
      </c>
      <c r="J39" s="12"/>
      <c r="K39" s="14">
        <f t="shared" si="0"/>
        <v>4880</v>
      </c>
      <c r="L39" s="15" t="s">
        <v>74</v>
      </c>
      <c r="M39" s="16" t="s">
        <v>23</v>
      </c>
      <c r="N39" s="5" t="s">
        <v>319</v>
      </c>
    </row>
    <row r="40" spans="1:14" x14ac:dyDescent="0.35">
      <c r="A40" s="10" t="s">
        <v>75</v>
      </c>
      <c r="B40" s="27">
        <v>6976100360559</v>
      </c>
      <c r="C40" t="s">
        <v>281</v>
      </c>
      <c r="D40" t="s">
        <v>270</v>
      </c>
      <c r="E40" s="12"/>
      <c r="F40" t="s">
        <v>248</v>
      </c>
      <c r="G40" s="10">
        <v>3</v>
      </c>
      <c r="H40" s="12" t="s">
        <v>17</v>
      </c>
      <c r="I40" s="13">
        <v>1770</v>
      </c>
      <c r="J40" s="12"/>
      <c r="K40" s="14">
        <f t="shared" si="0"/>
        <v>5310</v>
      </c>
      <c r="L40" s="15" t="s">
        <v>76</v>
      </c>
      <c r="M40" s="16" t="s">
        <v>23</v>
      </c>
      <c r="N40" s="5" t="s">
        <v>320</v>
      </c>
    </row>
    <row r="41" spans="1:14" x14ac:dyDescent="0.35">
      <c r="A41" s="10" t="s">
        <v>77</v>
      </c>
      <c r="B41" s="27">
        <v>6976100360818</v>
      </c>
      <c r="C41" t="s">
        <v>282</v>
      </c>
      <c r="D41" t="s">
        <v>270</v>
      </c>
      <c r="E41" s="12"/>
      <c r="F41" t="s">
        <v>190</v>
      </c>
      <c r="G41" s="10">
        <v>1</v>
      </c>
      <c r="H41" s="12" t="s">
        <v>17</v>
      </c>
      <c r="I41" s="13">
        <v>2115</v>
      </c>
      <c r="J41" s="12"/>
      <c r="K41" s="14">
        <f t="shared" si="0"/>
        <v>2115</v>
      </c>
      <c r="L41" s="15" t="s">
        <v>78</v>
      </c>
      <c r="M41" s="16" t="s">
        <v>23</v>
      </c>
      <c r="N41" s="5" t="s">
        <v>321</v>
      </c>
    </row>
    <row r="42" spans="1:14" x14ac:dyDescent="0.35">
      <c r="A42" s="10" t="s">
        <v>79</v>
      </c>
      <c r="B42" s="27">
        <v>8024221535976</v>
      </c>
      <c r="C42" t="s">
        <v>322</v>
      </c>
      <c r="D42" t="s">
        <v>80</v>
      </c>
      <c r="E42" s="12"/>
      <c r="F42" t="s">
        <v>283</v>
      </c>
      <c r="G42" s="10">
        <v>2</v>
      </c>
      <c r="H42" s="12" t="s">
        <v>17</v>
      </c>
      <c r="I42" s="13">
        <v>505</v>
      </c>
      <c r="J42" s="12"/>
      <c r="K42" s="14">
        <f t="shared" si="0"/>
        <v>1010</v>
      </c>
      <c r="L42" s="15" t="s">
        <v>81</v>
      </c>
      <c r="M42" s="16" t="s">
        <v>82</v>
      </c>
      <c r="N42" s="5" t="s">
        <v>323</v>
      </c>
    </row>
    <row r="43" spans="1:14" x14ac:dyDescent="0.35">
      <c r="A43" s="10" t="s">
        <v>83</v>
      </c>
      <c r="B43" s="27">
        <v>6928493302026</v>
      </c>
      <c r="C43" t="s">
        <v>284</v>
      </c>
      <c r="D43" t="s">
        <v>50</v>
      </c>
      <c r="E43" s="12"/>
      <c r="F43" t="s">
        <v>190</v>
      </c>
      <c r="G43" s="10">
        <v>6</v>
      </c>
      <c r="H43" s="12" t="s">
        <v>17</v>
      </c>
      <c r="I43" s="13">
        <v>40</v>
      </c>
      <c r="J43" s="12"/>
      <c r="K43" s="14">
        <f t="shared" si="0"/>
        <v>240</v>
      </c>
      <c r="L43" s="15" t="s">
        <v>84</v>
      </c>
      <c r="M43" s="16" t="s">
        <v>23</v>
      </c>
      <c r="N43" s="5" t="s">
        <v>84</v>
      </c>
    </row>
    <row r="44" spans="1:14" x14ac:dyDescent="0.35">
      <c r="A44" s="10" t="s">
        <v>85</v>
      </c>
      <c r="B44" s="27">
        <v>6976100360016</v>
      </c>
      <c r="C44">
        <v>1109015</v>
      </c>
      <c r="D44" t="s">
        <v>86</v>
      </c>
      <c r="E44" s="12"/>
      <c r="F44" t="s">
        <v>285</v>
      </c>
      <c r="G44" s="10">
        <v>1</v>
      </c>
      <c r="H44" s="12" t="s">
        <v>17</v>
      </c>
      <c r="I44" s="13">
        <v>120</v>
      </c>
      <c r="J44" s="12"/>
      <c r="K44" s="14">
        <f t="shared" si="0"/>
        <v>120</v>
      </c>
      <c r="L44" s="15" t="s">
        <v>87</v>
      </c>
      <c r="M44" s="16" t="s">
        <v>82</v>
      </c>
      <c r="N44" s="5" t="s">
        <v>324</v>
      </c>
    </row>
    <row r="45" spans="1:14" x14ac:dyDescent="0.35">
      <c r="A45" s="10" t="s">
        <v>88</v>
      </c>
      <c r="B45" s="11"/>
      <c r="C45" t="s">
        <v>288</v>
      </c>
      <c r="D45" t="s">
        <v>287</v>
      </c>
      <c r="E45" s="12"/>
      <c r="F45" t="s">
        <v>286</v>
      </c>
      <c r="G45" s="10">
        <v>6</v>
      </c>
      <c r="H45" s="12" t="s">
        <v>89</v>
      </c>
      <c r="I45" s="13">
        <v>70</v>
      </c>
      <c r="J45" s="12"/>
      <c r="K45" s="14">
        <f t="shared" si="0"/>
        <v>420</v>
      </c>
      <c r="L45" s="15" t="s">
        <v>90</v>
      </c>
      <c r="M45" s="16" t="s">
        <v>19</v>
      </c>
      <c r="N45" s="5" t="s">
        <v>325</v>
      </c>
    </row>
    <row r="46" spans="1:14" x14ac:dyDescent="0.35">
      <c r="A46" s="10" t="s">
        <v>88</v>
      </c>
      <c r="B46" s="11"/>
      <c r="C46" t="s">
        <v>289</v>
      </c>
      <c r="D46" t="s">
        <v>287</v>
      </c>
      <c r="E46" s="12"/>
      <c r="F46" t="s">
        <v>286</v>
      </c>
      <c r="G46" s="10">
        <v>6</v>
      </c>
      <c r="H46" s="12" t="s">
        <v>89</v>
      </c>
      <c r="I46" s="13">
        <v>80</v>
      </c>
      <c r="J46" s="12"/>
      <c r="K46" s="14">
        <f t="shared" si="0"/>
        <v>480</v>
      </c>
      <c r="L46" s="15" t="s">
        <v>91</v>
      </c>
      <c r="M46" s="16" t="s">
        <v>19</v>
      </c>
      <c r="N46" s="5" t="s">
        <v>326</v>
      </c>
    </row>
    <row r="47" spans="1:14" x14ac:dyDescent="0.35">
      <c r="A47" s="10" t="s">
        <v>92</v>
      </c>
      <c r="B47" s="11" t="s">
        <v>29</v>
      </c>
      <c r="E47" s="12"/>
      <c r="G47" s="10">
        <v>1</v>
      </c>
      <c r="H47" s="12" t="s">
        <v>93</v>
      </c>
      <c r="I47" s="19">
        <v>5000</v>
      </c>
      <c r="J47" s="12"/>
      <c r="K47" s="14">
        <f t="shared" si="0"/>
        <v>5000</v>
      </c>
      <c r="L47" s="4" t="s">
        <v>94</v>
      </c>
      <c r="M47" s="16" t="s">
        <v>95</v>
      </c>
      <c r="N47" s="5"/>
    </row>
    <row r="48" spans="1:14" x14ac:dyDescent="0.35">
      <c r="A48" s="10" t="s">
        <v>96</v>
      </c>
      <c r="B48" s="11" t="s">
        <v>29</v>
      </c>
      <c r="E48" s="12"/>
      <c r="G48" s="10">
        <v>30</v>
      </c>
      <c r="H48" s="12" t="s">
        <v>17</v>
      </c>
      <c r="I48" s="13">
        <v>35</v>
      </c>
      <c r="J48" s="12"/>
      <c r="K48" s="14">
        <f t="shared" si="0"/>
        <v>1050</v>
      </c>
      <c r="L48" s="4" t="s">
        <v>97</v>
      </c>
      <c r="M48" s="16" t="s">
        <v>95</v>
      </c>
      <c r="N48" s="5"/>
    </row>
    <row r="49" spans="1:14" x14ac:dyDescent="0.35">
      <c r="A49" s="10" t="s">
        <v>98</v>
      </c>
      <c r="B49" s="11" t="s">
        <v>29</v>
      </c>
      <c r="C49" t="s">
        <v>99</v>
      </c>
      <c r="D49" t="s">
        <v>291</v>
      </c>
      <c r="E49" s="12"/>
      <c r="F49" t="s">
        <v>290</v>
      </c>
      <c r="G49" s="10">
        <v>1</v>
      </c>
      <c r="H49" s="12" t="s">
        <v>17</v>
      </c>
      <c r="I49" s="13">
        <v>1649</v>
      </c>
      <c r="J49" s="12"/>
      <c r="K49" s="14">
        <f t="shared" si="0"/>
        <v>1649</v>
      </c>
      <c r="L49" s="15" t="s">
        <v>100</v>
      </c>
      <c r="M49" s="16" t="s">
        <v>82</v>
      </c>
      <c r="N49" s="5" t="s">
        <v>328</v>
      </c>
    </row>
    <row r="50" spans="1:14" x14ac:dyDescent="0.35">
      <c r="A50" s="10" t="s">
        <v>101</v>
      </c>
      <c r="B50" s="11" t="s">
        <v>29</v>
      </c>
      <c r="C50" t="s">
        <v>102</v>
      </c>
      <c r="D50" t="s">
        <v>293</v>
      </c>
      <c r="E50" s="12"/>
      <c r="F50" t="s">
        <v>292</v>
      </c>
      <c r="G50" s="10">
        <v>1</v>
      </c>
      <c r="H50" s="12" t="s">
        <v>17</v>
      </c>
      <c r="I50" s="13">
        <v>1018</v>
      </c>
      <c r="J50" s="12"/>
      <c r="K50" s="14">
        <f t="shared" si="0"/>
        <v>1018</v>
      </c>
      <c r="L50" s="15" t="s">
        <v>103</v>
      </c>
      <c r="M50" s="16" t="s">
        <v>23</v>
      </c>
      <c r="N50" s="5" t="s">
        <v>327</v>
      </c>
    </row>
    <row r="51" spans="1:14" x14ac:dyDescent="0.35">
      <c r="A51" s="12"/>
      <c r="B51" s="11"/>
      <c r="C51" s="12"/>
      <c r="D51" s="12"/>
      <c r="E51" s="12"/>
      <c r="F51" s="12"/>
      <c r="G51" s="12"/>
      <c r="H51" s="12"/>
      <c r="I51" s="12"/>
      <c r="J51" s="12"/>
      <c r="K51" s="14"/>
      <c r="L51" s="4"/>
      <c r="M51" s="16"/>
      <c r="N51" s="5"/>
    </row>
    <row r="52" spans="1:14" x14ac:dyDescent="0.35">
      <c r="A52" s="12"/>
      <c r="B52" s="11"/>
      <c r="C52" s="12"/>
      <c r="D52" s="12"/>
      <c r="E52" s="12"/>
      <c r="F52" s="12"/>
      <c r="G52" s="12"/>
      <c r="H52" s="12"/>
      <c r="I52" s="12"/>
      <c r="J52" s="12"/>
      <c r="K52" s="14"/>
      <c r="L52" s="4"/>
      <c r="M52" s="16"/>
      <c r="N52" s="5"/>
    </row>
    <row r="53" spans="1:14" x14ac:dyDescent="0.35">
      <c r="A53" s="12"/>
      <c r="B53" s="11"/>
      <c r="C53" s="12"/>
      <c r="D53" s="12"/>
      <c r="E53" s="12"/>
      <c r="F53" s="12"/>
      <c r="G53" s="12"/>
      <c r="H53" s="12"/>
      <c r="I53" s="12"/>
      <c r="J53" s="12"/>
      <c r="K53" s="14"/>
      <c r="L53" s="4"/>
      <c r="M53" s="16"/>
      <c r="N53" s="5"/>
    </row>
    <row r="54" spans="1:14" x14ac:dyDescent="0.35">
      <c r="A54" s="12"/>
      <c r="B54" s="11"/>
      <c r="C54" s="12"/>
      <c r="D54" s="12"/>
      <c r="E54" s="12"/>
      <c r="F54" s="12"/>
      <c r="G54" s="12"/>
      <c r="H54" s="12"/>
      <c r="I54" s="12"/>
      <c r="J54" s="12"/>
      <c r="K54" s="14"/>
      <c r="L54" s="4"/>
      <c r="M54" s="16"/>
      <c r="N54" s="5"/>
    </row>
    <row r="55" spans="1:14" x14ac:dyDescent="0.35">
      <c r="A55" s="10" t="s">
        <v>104</v>
      </c>
      <c r="B55" s="29">
        <v>4011619230470</v>
      </c>
      <c r="C55" s="11" t="s">
        <v>331</v>
      </c>
      <c r="D55" s="12" t="s">
        <v>330</v>
      </c>
      <c r="E55" s="12"/>
      <c r="F55" s="11" t="s">
        <v>105</v>
      </c>
      <c r="G55" s="10">
        <v>2</v>
      </c>
      <c r="H55" s="12" t="s">
        <v>17</v>
      </c>
      <c r="I55" s="14">
        <v>157</v>
      </c>
      <c r="J55" s="12"/>
      <c r="K55" s="14">
        <f t="shared" si="0"/>
        <v>314</v>
      </c>
      <c r="L55" s="21" t="s">
        <v>329</v>
      </c>
      <c r="M55" s="16" t="s">
        <v>82</v>
      </c>
      <c r="N55" s="5" t="s">
        <v>332</v>
      </c>
    </row>
    <row r="56" spans="1:14" x14ac:dyDescent="0.35">
      <c r="A56" s="10" t="s">
        <v>333</v>
      </c>
      <c r="B56" s="20" t="s">
        <v>335</v>
      </c>
      <c r="C56" s="11" t="s">
        <v>334</v>
      </c>
      <c r="D56" s="12" t="s">
        <v>106</v>
      </c>
      <c r="E56" s="12"/>
      <c r="F56" s="11" t="s">
        <v>105</v>
      </c>
      <c r="G56" s="10">
        <v>6</v>
      </c>
      <c r="H56" s="12" t="s">
        <v>17</v>
      </c>
      <c r="I56" s="14">
        <v>10</v>
      </c>
      <c r="J56" s="12"/>
      <c r="K56" s="14">
        <f t="shared" si="0"/>
        <v>60</v>
      </c>
      <c r="L56" s="21" t="s">
        <v>336</v>
      </c>
      <c r="M56" s="16" t="s">
        <v>19</v>
      </c>
      <c r="N56" s="5" t="s">
        <v>337</v>
      </c>
    </row>
    <row r="57" spans="1:14" x14ac:dyDescent="0.35">
      <c r="A57" s="10" t="s">
        <v>338</v>
      </c>
      <c r="B57" s="11"/>
      <c r="C57" s="11" t="s">
        <v>340</v>
      </c>
      <c r="D57" s="12" t="s">
        <v>341</v>
      </c>
      <c r="E57" s="12"/>
      <c r="F57" s="11" t="s">
        <v>341</v>
      </c>
      <c r="G57" s="10">
        <v>3</v>
      </c>
      <c r="H57" s="12" t="s">
        <v>17</v>
      </c>
      <c r="I57" s="14">
        <v>4.2</v>
      </c>
      <c r="J57" s="12"/>
      <c r="K57" s="14">
        <f t="shared" si="0"/>
        <v>12.600000000000001</v>
      </c>
      <c r="L57" s="21" t="s">
        <v>339</v>
      </c>
      <c r="M57" s="16" t="s">
        <v>19</v>
      </c>
      <c r="N57" s="5" t="s">
        <v>342</v>
      </c>
    </row>
    <row r="58" spans="1:14" x14ac:dyDescent="0.35">
      <c r="A58" s="10" t="s">
        <v>343</v>
      </c>
      <c r="B58" s="20"/>
      <c r="C58" s="12">
        <v>20378</v>
      </c>
      <c r="D58" s="12" t="s">
        <v>346</v>
      </c>
      <c r="E58" s="12"/>
      <c r="F58" s="11" t="s">
        <v>341</v>
      </c>
      <c r="G58" s="10">
        <v>2</v>
      </c>
      <c r="H58" s="12" t="s">
        <v>17</v>
      </c>
      <c r="I58" s="14">
        <v>9.5</v>
      </c>
      <c r="J58" s="12"/>
      <c r="K58" s="14">
        <f t="shared" si="0"/>
        <v>19</v>
      </c>
      <c r="L58" s="21" t="s">
        <v>344</v>
      </c>
      <c r="M58" s="16" t="s">
        <v>19</v>
      </c>
      <c r="N58" s="5" t="s">
        <v>345</v>
      </c>
    </row>
    <row r="59" spans="1:14" x14ac:dyDescent="0.35">
      <c r="A59" s="10" t="s">
        <v>108</v>
      </c>
      <c r="B59" s="11"/>
      <c r="C59" s="11" t="s">
        <v>348</v>
      </c>
      <c r="D59" s="12" t="s">
        <v>341</v>
      </c>
      <c r="E59" s="12"/>
      <c r="F59" s="11" t="s">
        <v>341</v>
      </c>
      <c r="G59" s="10">
        <v>20</v>
      </c>
      <c r="H59" s="12" t="s">
        <v>109</v>
      </c>
      <c r="I59" s="14">
        <v>4.9000000000000004</v>
      </c>
      <c r="J59" s="12"/>
      <c r="K59" s="14">
        <f t="shared" si="0"/>
        <v>98</v>
      </c>
      <c r="L59" s="21" t="s">
        <v>347</v>
      </c>
      <c r="M59" s="16" t="s">
        <v>19</v>
      </c>
      <c r="N59" s="5" t="s">
        <v>349</v>
      </c>
    </row>
    <row r="60" spans="1:14" x14ac:dyDescent="0.35">
      <c r="A60" s="10" t="s">
        <v>110</v>
      </c>
      <c r="B60" s="11" t="s">
        <v>29</v>
      </c>
      <c r="C60" s="12" t="s">
        <v>29</v>
      </c>
      <c r="D60" s="12"/>
      <c r="E60" s="12"/>
      <c r="F60" s="11"/>
      <c r="G60" s="10">
        <v>6</v>
      </c>
      <c r="H60" s="12" t="s">
        <v>17</v>
      </c>
      <c r="I60" s="13">
        <v>100</v>
      </c>
      <c r="J60" s="12"/>
      <c r="K60" s="14">
        <f t="shared" si="0"/>
        <v>600</v>
      </c>
      <c r="L60" s="4" t="s">
        <v>111</v>
      </c>
      <c r="M60" s="16" t="s">
        <v>23</v>
      </c>
      <c r="N60" s="5"/>
    </row>
    <row r="61" spans="1:14" x14ac:dyDescent="0.35">
      <c r="A61" s="10" t="s">
        <v>112</v>
      </c>
      <c r="B61" s="11" t="s">
        <v>29</v>
      </c>
      <c r="C61" s="12" t="s">
        <v>29</v>
      </c>
      <c r="D61" s="12"/>
      <c r="E61" s="12"/>
      <c r="F61" s="11"/>
      <c r="G61" s="10">
        <v>2</v>
      </c>
      <c r="H61" s="12" t="s">
        <v>17</v>
      </c>
      <c r="I61" s="13">
        <v>200</v>
      </c>
      <c r="J61" s="12"/>
      <c r="K61" s="14">
        <f t="shared" si="0"/>
        <v>400</v>
      </c>
      <c r="L61" s="4" t="s">
        <v>113</v>
      </c>
      <c r="M61" s="16" t="s">
        <v>23</v>
      </c>
      <c r="N61" s="5"/>
    </row>
    <row r="62" spans="1:14" x14ac:dyDescent="0.35">
      <c r="A62" s="10" t="s">
        <v>114</v>
      </c>
      <c r="B62" s="11" t="s">
        <v>29</v>
      </c>
      <c r="C62" s="12" t="s">
        <v>29</v>
      </c>
      <c r="D62" s="12"/>
      <c r="E62" s="12"/>
      <c r="F62" s="11"/>
      <c r="G62" s="10">
        <v>2</v>
      </c>
      <c r="H62" s="12" t="s">
        <v>17</v>
      </c>
      <c r="I62" s="13">
        <v>180</v>
      </c>
      <c r="J62" s="12"/>
      <c r="K62" s="14">
        <f t="shared" si="0"/>
        <v>360</v>
      </c>
      <c r="L62" s="4" t="s">
        <v>115</v>
      </c>
      <c r="M62" s="16" t="s">
        <v>23</v>
      </c>
      <c r="N62" s="5"/>
    </row>
    <row r="63" spans="1:14" x14ac:dyDescent="0.35">
      <c r="A63" s="30" t="s">
        <v>351</v>
      </c>
      <c r="B63" s="20">
        <v>5906623442386</v>
      </c>
      <c r="C63" s="12"/>
      <c r="D63" s="12" t="s">
        <v>29</v>
      </c>
      <c r="E63" s="12"/>
      <c r="F63" s="11" t="s">
        <v>107</v>
      </c>
      <c r="G63" s="10">
        <v>4</v>
      </c>
      <c r="H63" s="12" t="s">
        <v>17</v>
      </c>
      <c r="I63" s="11">
        <v>1.25</v>
      </c>
      <c r="J63" s="12"/>
      <c r="K63" s="14">
        <f t="shared" si="0"/>
        <v>5</v>
      </c>
      <c r="L63" s="21" t="s">
        <v>116</v>
      </c>
      <c r="M63" s="16" t="s">
        <v>23</v>
      </c>
      <c r="N63" s="5" t="s">
        <v>350</v>
      </c>
    </row>
    <row r="64" spans="1:14" x14ac:dyDescent="0.35">
      <c r="A64" s="30" t="s">
        <v>117</v>
      </c>
      <c r="B64" s="11"/>
      <c r="C64" s="11" t="s">
        <v>118</v>
      </c>
      <c r="D64" s="12" t="s">
        <v>119</v>
      </c>
      <c r="E64" s="12"/>
      <c r="F64" s="11" t="s">
        <v>105</v>
      </c>
      <c r="G64" s="10">
        <v>4</v>
      </c>
      <c r="H64" s="12" t="s">
        <v>17</v>
      </c>
      <c r="I64" s="11">
        <v>13.31</v>
      </c>
      <c r="J64" s="12"/>
      <c r="K64" s="14">
        <f t="shared" si="0"/>
        <v>53.24</v>
      </c>
      <c r="L64" s="21" t="s">
        <v>120</v>
      </c>
      <c r="M64" s="16" t="s">
        <v>23</v>
      </c>
      <c r="N64" s="5"/>
    </row>
    <row r="65" spans="1:14" x14ac:dyDescent="0.35">
      <c r="A65" s="30" t="s">
        <v>121</v>
      </c>
      <c r="B65" s="20">
        <v>5901574000305</v>
      </c>
      <c r="C65" s="12"/>
      <c r="D65" s="12" t="s">
        <v>29</v>
      </c>
      <c r="E65" s="12"/>
      <c r="F65" s="11" t="s">
        <v>107</v>
      </c>
      <c r="G65" s="10">
        <v>4</v>
      </c>
      <c r="H65" s="12" t="s">
        <v>17</v>
      </c>
      <c r="I65" s="11">
        <v>1.92</v>
      </c>
      <c r="J65" s="12"/>
      <c r="K65" s="14">
        <f t="shared" si="0"/>
        <v>7.68</v>
      </c>
      <c r="L65" s="21" t="s">
        <v>122</v>
      </c>
      <c r="M65" s="16" t="s">
        <v>23</v>
      </c>
      <c r="N65" s="5"/>
    </row>
    <row r="66" spans="1:14" x14ac:dyDescent="0.35">
      <c r="A66" s="30" t="s">
        <v>123</v>
      </c>
      <c r="B66" s="20">
        <v>5906623447992</v>
      </c>
      <c r="C66" s="12"/>
      <c r="D66" s="12" t="s">
        <v>29</v>
      </c>
      <c r="E66" s="12"/>
      <c r="F66" s="11" t="s">
        <v>107</v>
      </c>
      <c r="G66" s="10">
        <v>4</v>
      </c>
      <c r="H66" s="12" t="s">
        <v>17</v>
      </c>
      <c r="I66" s="11">
        <v>5.89</v>
      </c>
      <c r="J66" s="12"/>
      <c r="K66" s="14">
        <f t="shared" si="0"/>
        <v>23.56</v>
      </c>
      <c r="L66" s="4" t="s">
        <v>124</v>
      </c>
      <c r="M66" s="16" t="s">
        <v>23</v>
      </c>
      <c r="N66" s="5"/>
    </row>
    <row r="67" spans="1:14" x14ac:dyDescent="0.35">
      <c r="A67" s="30" t="s">
        <v>125</v>
      </c>
      <c r="B67" s="20">
        <v>5901574000299</v>
      </c>
      <c r="C67" s="12"/>
      <c r="D67" s="12" t="s">
        <v>29</v>
      </c>
      <c r="E67" s="12"/>
      <c r="F67" s="11" t="s">
        <v>107</v>
      </c>
      <c r="G67" s="10">
        <v>4</v>
      </c>
      <c r="H67" s="12" t="s">
        <v>17</v>
      </c>
      <c r="I67" s="11">
        <v>1.25</v>
      </c>
      <c r="J67" s="12"/>
      <c r="K67" s="14">
        <f t="shared" si="0"/>
        <v>5</v>
      </c>
      <c r="L67" s="4" t="s">
        <v>126</v>
      </c>
      <c r="M67" s="16" t="s">
        <v>23</v>
      </c>
      <c r="N67" s="5"/>
    </row>
    <row r="68" spans="1:14" x14ac:dyDescent="0.35">
      <c r="A68" s="10" t="s">
        <v>127</v>
      </c>
      <c r="B68" s="11"/>
      <c r="C68" s="12"/>
      <c r="D68" s="12" t="s">
        <v>128</v>
      </c>
      <c r="E68" s="12"/>
      <c r="F68" s="11" t="s">
        <v>129</v>
      </c>
      <c r="G68" s="10">
        <v>2</v>
      </c>
      <c r="H68" s="12" t="s">
        <v>17</v>
      </c>
      <c r="I68" s="11" t="s">
        <v>130</v>
      </c>
      <c r="J68" s="12"/>
      <c r="K68" s="14">
        <f t="shared" si="0"/>
        <v>130</v>
      </c>
      <c r="L68" s="21" t="s">
        <v>131</v>
      </c>
      <c r="M68" s="16" t="s">
        <v>23</v>
      </c>
      <c r="N68" s="5"/>
    </row>
    <row r="69" spans="1:14" x14ac:dyDescent="0.35">
      <c r="A69" s="10" t="s">
        <v>132</v>
      </c>
      <c r="B69" s="11"/>
      <c r="C69" s="11" t="s">
        <v>133</v>
      </c>
      <c r="D69" s="12" t="s">
        <v>134</v>
      </c>
      <c r="E69" s="12"/>
      <c r="F69" s="11" t="s">
        <v>105</v>
      </c>
      <c r="G69" s="10">
        <v>2</v>
      </c>
      <c r="H69" s="12" t="s">
        <v>17</v>
      </c>
      <c r="I69" s="11">
        <v>18</v>
      </c>
      <c r="J69" s="12"/>
      <c r="K69" s="14">
        <f t="shared" si="0"/>
        <v>36</v>
      </c>
      <c r="L69" s="4" t="s">
        <v>135</v>
      </c>
      <c r="M69" s="16" t="s">
        <v>23</v>
      </c>
      <c r="N69" s="5"/>
    </row>
    <row r="70" spans="1:14" x14ac:dyDescent="0.35">
      <c r="A70" s="10" t="s">
        <v>136</v>
      </c>
      <c r="B70" s="20">
        <v>5906623447435</v>
      </c>
      <c r="C70" s="12"/>
      <c r="D70" s="12" t="s">
        <v>29</v>
      </c>
      <c r="E70" s="12"/>
      <c r="F70" s="11" t="s">
        <v>107</v>
      </c>
      <c r="G70" s="10">
        <v>2</v>
      </c>
      <c r="H70" s="12" t="s">
        <v>17</v>
      </c>
      <c r="I70" s="11">
        <v>35.630000000000003</v>
      </c>
      <c r="J70" s="12"/>
      <c r="K70" s="14">
        <f t="shared" ref="K70:K105" si="1">G70*I70</f>
        <v>71.260000000000005</v>
      </c>
      <c r="L70" s="4" t="s">
        <v>137</v>
      </c>
      <c r="M70" s="16" t="s">
        <v>23</v>
      </c>
      <c r="N70" s="5"/>
    </row>
    <row r="71" spans="1:14" x14ac:dyDescent="0.35">
      <c r="A71" s="10" t="s">
        <v>138</v>
      </c>
      <c r="B71" s="20">
        <v>5906623449330</v>
      </c>
      <c r="C71" s="12"/>
      <c r="D71" s="12" t="s">
        <v>29</v>
      </c>
      <c r="E71" s="12"/>
      <c r="F71" s="11" t="s">
        <v>107</v>
      </c>
      <c r="G71" s="10">
        <v>2</v>
      </c>
      <c r="H71" s="12" t="s">
        <v>17</v>
      </c>
      <c r="I71" s="11">
        <v>17.78</v>
      </c>
      <c r="J71" s="12"/>
      <c r="K71" s="14">
        <f t="shared" si="1"/>
        <v>35.56</v>
      </c>
      <c r="L71" s="4" t="s">
        <v>139</v>
      </c>
      <c r="M71" s="16" t="s">
        <v>23</v>
      </c>
      <c r="N71" s="5"/>
    </row>
    <row r="72" spans="1:14" x14ac:dyDescent="0.35">
      <c r="A72" s="10" t="s">
        <v>140</v>
      </c>
      <c r="B72" s="20">
        <v>5906623448401</v>
      </c>
      <c r="C72" s="12"/>
      <c r="D72" s="12" t="s">
        <v>29</v>
      </c>
      <c r="E72" s="12"/>
      <c r="F72" s="11" t="s">
        <v>107</v>
      </c>
      <c r="G72" s="10">
        <v>2</v>
      </c>
      <c r="H72" s="12" t="s">
        <v>17</v>
      </c>
      <c r="I72" s="11">
        <v>12.5</v>
      </c>
      <c r="J72" s="12"/>
      <c r="K72" s="14">
        <f t="shared" si="1"/>
        <v>25</v>
      </c>
      <c r="L72" s="4" t="s">
        <v>141</v>
      </c>
      <c r="M72" s="16" t="s">
        <v>23</v>
      </c>
      <c r="N72" s="5"/>
    </row>
    <row r="73" spans="1:14" x14ac:dyDescent="0.35">
      <c r="A73" s="10" t="s">
        <v>352</v>
      </c>
      <c r="B73" s="20">
        <v>4031026310206</v>
      </c>
      <c r="C73" s="11" t="s">
        <v>142</v>
      </c>
      <c r="D73" s="12" t="s">
        <v>143</v>
      </c>
      <c r="E73" s="12"/>
      <c r="F73" s="11" t="s">
        <v>105</v>
      </c>
      <c r="G73" s="10">
        <v>3</v>
      </c>
      <c r="H73" s="12" t="s">
        <v>17</v>
      </c>
      <c r="I73" s="11">
        <v>58.4</v>
      </c>
      <c r="J73" s="12"/>
      <c r="K73" s="14">
        <f t="shared" si="1"/>
        <v>175.2</v>
      </c>
      <c r="L73" s="4" t="s">
        <v>144</v>
      </c>
      <c r="M73" s="16" t="s">
        <v>23</v>
      </c>
      <c r="N73" s="5"/>
    </row>
    <row r="74" spans="1:14" x14ac:dyDescent="0.35">
      <c r="A74" s="10" t="s">
        <v>145</v>
      </c>
      <c r="B74" s="20">
        <v>5906623440053</v>
      </c>
      <c r="C74" s="12"/>
      <c r="D74" s="12" t="s">
        <v>29</v>
      </c>
      <c r="E74" s="12"/>
      <c r="F74" s="11" t="s">
        <v>107</v>
      </c>
      <c r="G74" s="10">
        <v>2</v>
      </c>
      <c r="H74" s="12" t="s">
        <v>17</v>
      </c>
      <c r="I74" s="11">
        <v>5.28</v>
      </c>
      <c r="J74" s="12"/>
      <c r="K74" s="14">
        <f t="shared" si="1"/>
        <v>10.56</v>
      </c>
      <c r="L74" s="4" t="s">
        <v>146</v>
      </c>
      <c r="M74" s="16" t="s">
        <v>23</v>
      </c>
      <c r="N74" s="5"/>
    </row>
    <row r="75" spans="1:14" x14ac:dyDescent="0.35">
      <c r="A75" s="10" t="s">
        <v>147</v>
      </c>
      <c r="B75" s="20">
        <v>5906623440077</v>
      </c>
      <c r="C75" s="12"/>
      <c r="D75" s="12" t="s">
        <v>29</v>
      </c>
      <c r="E75" s="12"/>
      <c r="F75" s="11" t="s">
        <v>107</v>
      </c>
      <c r="G75" s="10">
        <v>2</v>
      </c>
      <c r="H75" s="12" t="s">
        <v>17</v>
      </c>
      <c r="I75" s="11">
        <v>5.28</v>
      </c>
      <c r="J75" s="12"/>
      <c r="K75" s="14">
        <f t="shared" si="1"/>
        <v>10.56</v>
      </c>
      <c r="L75" s="4" t="s">
        <v>148</v>
      </c>
      <c r="M75" s="16" t="s">
        <v>23</v>
      </c>
      <c r="N75" s="5"/>
    </row>
    <row r="76" spans="1:14" x14ac:dyDescent="0.35">
      <c r="A76" s="10" t="s">
        <v>149</v>
      </c>
      <c r="B76" s="11"/>
      <c r="C76" s="12"/>
      <c r="D76" s="12" t="s">
        <v>29</v>
      </c>
      <c r="E76" s="12"/>
      <c r="F76" s="11" t="s">
        <v>129</v>
      </c>
      <c r="G76" s="10">
        <v>2</v>
      </c>
      <c r="H76" s="12" t="s">
        <v>17</v>
      </c>
      <c r="I76" s="11" t="s">
        <v>150</v>
      </c>
      <c r="J76" s="12"/>
      <c r="K76" s="14">
        <f t="shared" si="1"/>
        <v>46.56</v>
      </c>
      <c r="L76" s="4" t="s">
        <v>151</v>
      </c>
      <c r="M76" s="16" t="s">
        <v>23</v>
      </c>
      <c r="N76" s="5"/>
    </row>
    <row r="77" spans="1:14" x14ac:dyDescent="0.35">
      <c r="A77" s="10" t="s">
        <v>152</v>
      </c>
      <c r="B77" s="11"/>
      <c r="C77" s="11" t="s">
        <v>153</v>
      </c>
      <c r="D77" s="12" t="s">
        <v>154</v>
      </c>
      <c r="E77" s="12"/>
      <c r="F77" s="11" t="s">
        <v>105</v>
      </c>
      <c r="G77" s="10">
        <v>2</v>
      </c>
      <c r="H77" s="12" t="s">
        <v>17</v>
      </c>
      <c r="I77" s="11">
        <v>28.46</v>
      </c>
      <c r="J77" s="12"/>
      <c r="K77" s="14">
        <f t="shared" si="1"/>
        <v>56.92</v>
      </c>
      <c r="L77" s="4" t="s">
        <v>155</v>
      </c>
      <c r="M77" s="16" t="s">
        <v>23</v>
      </c>
      <c r="N77" s="5"/>
    </row>
    <row r="78" spans="1:14" x14ac:dyDescent="0.35">
      <c r="A78" s="10" t="s">
        <v>156</v>
      </c>
      <c r="B78" s="20">
        <v>5906623448371</v>
      </c>
      <c r="C78" s="12"/>
      <c r="D78" s="12" t="s">
        <v>29</v>
      </c>
      <c r="E78" s="12"/>
      <c r="F78" s="11" t="s">
        <v>107</v>
      </c>
      <c r="G78" s="12">
        <v>2</v>
      </c>
      <c r="H78" s="12" t="s">
        <v>17</v>
      </c>
      <c r="I78" s="11">
        <v>26.71</v>
      </c>
      <c r="J78" s="12"/>
      <c r="K78" s="14">
        <f t="shared" si="1"/>
        <v>53.42</v>
      </c>
      <c r="L78" s="4" t="s">
        <v>157</v>
      </c>
      <c r="M78" s="16" t="s">
        <v>23</v>
      </c>
      <c r="N78" s="5"/>
    </row>
    <row r="79" spans="1:14" x14ac:dyDescent="0.35">
      <c r="A79" s="10" t="s">
        <v>158</v>
      </c>
      <c r="B79" s="11"/>
      <c r="C79" s="11" t="s">
        <v>159</v>
      </c>
      <c r="D79" s="12" t="s">
        <v>160</v>
      </c>
      <c r="E79" s="12"/>
      <c r="F79" s="11" t="s">
        <v>105</v>
      </c>
      <c r="G79" s="10">
        <v>1</v>
      </c>
      <c r="H79" s="12" t="s">
        <v>17</v>
      </c>
      <c r="I79" s="11">
        <v>731.7</v>
      </c>
      <c r="J79" s="12"/>
      <c r="K79" s="14">
        <f t="shared" si="1"/>
        <v>731.7</v>
      </c>
      <c r="L79" s="4" t="s">
        <v>161</v>
      </c>
      <c r="M79" s="16" t="s">
        <v>82</v>
      </c>
      <c r="N79" s="5"/>
    </row>
    <row r="80" spans="1:14" x14ac:dyDescent="0.35">
      <c r="A80" s="10" t="s">
        <v>162</v>
      </c>
      <c r="B80" s="20">
        <v>4013288167606</v>
      </c>
      <c r="C80" s="11">
        <v>5073675001</v>
      </c>
      <c r="D80" s="12" t="s">
        <v>163</v>
      </c>
      <c r="E80" s="12"/>
      <c r="F80" s="11" t="s">
        <v>105</v>
      </c>
      <c r="G80" s="10">
        <v>3</v>
      </c>
      <c r="H80" s="12" t="s">
        <v>17</v>
      </c>
      <c r="I80" s="11">
        <v>215</v>
      </c>
      <c r="J80" s="12"/>
      <c r="K80" s="14">
        <f t="shared" si="1"/>
        <v>645</v>
      </c>
      <c r="L80" s="4" t="s">
        <v>164</v>
      </c>
      <c r="M80" s="16" t="s">
        <v>82</v>
      </c>
      <c r="N80" s="5"/>
    </row>
    <row r="81" spans="1:14" x14ac:dyDescent="0.35">
      <c r="A81" s="12" t="s">
        <v>165</v>
      </c>
      <c r="B81" s="20">
        <v>4052792002362</v>
      </c>
      <c r="C81" s="11" t="s">
        <v>166</v>
      </c>
      <c r="D81" s="12"/>
      <c r="E81" s="12"/>
      <c r="F81" s="11" t="s">
        <v>105</v>
      </c>
      <c r="G81" s="12">
        <v>2</v>
      </c>
      <c r="H81" s="12" t="s">
        <v>17</v>
      </c>
      <c r="I81" s="12">
        <v>132.11000000000001</v>
      </c>
      <c r="J81" s="12"/>
      <c r="K81" s="14">
        <f t="shared" si="1"/>
        <v>264.22000000000003</v>
      </c>
      <c r="L81" s="15" t="s">
        <v>167</v>
      </c>
      <c r="M81" s="16" t="s">
        <v>82</v>
      </c>
      <c r="N81" s="5"/>
    </row>
    <row r="82" spans="1:14" x14ac:dyDescent="0.35">
      <c r="A82" s="10" t="s">
        <v>168</v>
      </c>
      <c r="B82" s="20">
        <v>4003773035381</v>
      </c>
      <c r="C82" s="11" t="s">
        <v>169</v>
      </c>
      <c r="D82" s="12"/>
      <c r="E82" s="12"/>
      <c r="F82" s="11" t="s">
        <v>105</v>
      </c>
      <c r="G82" s="10">
        <v>3</v>
      </c>
      <c r="H82" s="12" t="s">
        <v>17</v>
      </c>
      <c r="I82" s="13">
        <v>83.13</v>
      </c>
      <c r="J82" s="12"/>
      <c r="K82" s="14">
        <f t="shared" si="1"/>
        <v>249.39</v>
      </c>
      <c r="L82" s="15" t="s">
        <v>170</v>
      </c>
      <c r="M82" s="16" t="s">
        <v>82</v>
      </c>
      <c r="N82" s="5"/>
    </row>
    <row r="83" spans="1:14" x14ac:dyDescent="0.35">
      <c r="A83" s="10" t="s">
        <v>171</v>
      </c>
      <c r="B83" s="11"/>
      <c r="C83" s="11" t="s">
        <v>172</v>
      </c>
      <c r="D83" s="12"/>
      <c r="E83" s="12"/>
      <c r="F83" s="11" t="s">
        <v>105</v>
      </c>
      <c r="G83" s="10">
        <v>2</v>
      </c>
      <c r="H83" s="12" t="s">
        <v>17</v>
      </c>
      <c r="I83" s="13">
        <v>175.25</v>
      </c>
      <c r="J83" s="12"/>
      <c r="K83" s="14">
        <f t="shared" si="1"/>
        <v>350.5</v>
      </c>
      <c r="L83" s="22" t="s">
        <v>173</v>
      </c>
      <c r="M83" s="16" t="s">
        <v>82</v>
      </c>
      <c r="N83" s="5"/>
    </row>
    <row r="84" spans="1:14" x14ac:dyDescent="0.35">
      <c r="A84" s="10" t="s">
        <v>174</v>
      </c>
      <c r="B84" s="11"/>
      <c r="C84" s="11" t="s">
        <v>175</v>
      </c>
      <c r="D84" s="12"/>
      <c r="E84" s="12"/>
      <c r="F84" s="11" t="s">
        <v>105</v>
      </c>
      <c r="G84" s="10">
        <v>3</v>
      </c>
      <c r="H84" s="12" t="s">
        <v>17</v>
      </c>
      <c r="I84" s="13">
        <v>15.57</v>
      </c>
      <c r="J84" s="12"/>
      <c r="K84" s="14">
        <f t="shared" si="1"/>
        <v>46.71</v>
      </c>
      <c r="L84" s="22" t="s">
        <v>176</v>
      </c>
      <c r="M84" s="16" t="s">
        <v>19</v>
      </c>
      <c r="N84" s="5"/>
    </row>
    <row r="85" spans="1:14" x14ac:dyDescent="0.35">
      <c r="A85" s="10" t="s">
        <v>177</v>
      </c>
      <c r="B85" s="20">
        <v>8427327011910</v>
      </c>
      <c r="C85" s="11">
        <v>119107</v>
      </c>
      <c r="D85" s="12"/>
      <c r="E85" s="12"/>
      <c r="F85" s="11" t="s">
        <v>105</v>
      </c>
      <c r="G85" s="10">
        <v>2</v>
      </c>
      <c r="H85" s="12" t="s">
        <v>17</v>
      </c>
      <c r="I85" s="13">
        <v>262.3</v>
      </c>
      <c r="J85" s="12"/>
      <c r="K85" s="14">
        <f t="shared" si="1"/>
        <v>524.6</v>
      </c>
      <c r="L85" s="15" t="s">
        <v>178</v>
      </c>
      <c r="M85" s="16" t="s">
        <v>82</v>
      </c>
      <c r="N85" s="5"/>
    </row>
    <row r="86" spans="1:14" x14ac:dyDescent="0.35">
      <c r="A86" s="10" t="s">
        <v>179</v>
      </c>
      <c r="B86" s="11"/>
      <c r="C86" s="11" t="s">
        <v>180</v>
      </c>
      <c r="D86" s="12"/>
      <c r="E86" s="12"/>
      <c r="F86" s="11" t="s">
        <v>105</v>
      </c>
      <c r="G86" s="10">
        <v>3</v>
      </c>
      <c r="H86" s="12" t="s">
        <v>17</v>
      </c>
      <c r="I86" s="13">
        <f>117.52</f>
        <v>117.52</v>
      </c>
      <c r="J86" s="12"/>
      <c r="K86" s="14">
        <f t="shared" si="1"/>
        <v>352.56</v>
      </c>
      <c r="L86" s="22" t="s">
        <v>181</v>
      </c>
      <c r="M86" s="16" t="s">
        <v>82</v>
      </c>
      <c r="N86" s="5"/>
    </row>
    <row r="87" spans="1:14" x14ac:dyDescent="0.35">
      <c r="A87" s="10" t="s">
        <v>182</v>
      </c>
      <c r="B87" s="11"/>
      <c r="C87" s="11" t="s">
        <v>183</v>
      </c>
      <c r="D87" s="12"/>
      <c r="E87" s="12"/>
      <c r="F87" s="11" t="s">
        <v>105</v>
      </c>
      <c r="G87" s="10">
        <v>3</v>
      </c>
      <c r="H87" s="12" t="s">
        <v>17</v>
      </c>
      <c r="I87" s="13">
        <v>12.28</v>
      </c>
      <c r="J87" s="12"/>
      <c r="K87" s="14">
        <f t="shared" si="1"/>
        <v>36.839999999999996</v>
      </c>
      <c r="L87" s="22" t="s">
        <v>184</v>
      </c>
      <c r="M87" s="16" t="s">
        <v>82</v>
      </c>
      <c r="N87" s="5"/>
    </row>
    <row r="88" spans="1:14" x14ac:dyDescent="0.35">
      <c r="A88" s="10" t="s">
        <v>185</v>
      </c>
      <c r="B88" s="20">
        <v>4013288004123</v>
      </c>
      <c r="C88" s="11">
        <v>5023107001</v>
      </c>
      <c r="D88" s="12"/>
      <c r="E88" s="12"/>
      <c r="F88" s="11" t="s">
        <v>186</v>
      </c>
      <c r="G88" s="10">
        <v>4</v>
      </c>
      <c r="H88" s="12" t="s">
        <v>17</v>
      </c>
      <c r="I88" s="13">
        <v>18</v>
      </c>
      <c r="J88" s="12"/>
      <c r="K88" s="14">
        <f t="shared" si="1"/>
        <v>72</v>
      </c>
      <c r="L88" s="15" t="s">
        <v>187</v>
      </c>
      <c r="M88" s="16" t="s">
        <v>82</v>
      </c>
      <c r="N88" s="5"/>
    </row>
    <row r="89" spans="1:14" x14ac:dyDescent="0.35">
      <c r="A89" s="10" t="s">
        <v>188</v>
      </c>
      <c r="B89" s="11"/>
      <c r="C89" s="11" t="s">
        <v>189</v>
      </c>
      <c r="D89" s="12"/>
      <c r="E89" s="12"/>
      <c r="F89" s="11" t="s">
        <v>190</v>
      </c>
      <c r="G89" s="10">
        <v>4</v>
      </c>
      <c r="H89" s="12" t="s">
        <v>17</v>
      </c>
      <c r="I89" s="13">
        <v>69</v>
      </c>
      <c r="J89" s="12"/>
      <c r="K89" s="14">
        <f t="shared" si="1"/>
        <v>276</v>
      </c>
      <c r="L89" s="15" t="s">
        <v>191</v>
      </c>
      <c r="M89" s="16" t="s">
        <v>23</v>
      </c>
      <c r="N89" s="5"/>
    </row>
    <row r="90" spans="1:14" x14ac:dyDescent="0.35">
      <c r="A90" s="10" t="s">
        <v>192</v>
      </c>
      <c r="B90" s="20">
        <v>5906623447077</v>
      </c>
      <c r="C90" s="12"/>
      <c r="D90" s="12"/>
      <c r="E90" s="12"/>
      <c r="F90" s="11" t="s">
        <v>193</v>
      </c>
      <c r="G90" s="10">
        <v>4</v>
      </c>
      <c r="H90" s="12" t="s">
        <v>17</v>
      </c>
      <c r="I90" s="13">
        <v>9</v>
      </c>
      <c r="J90" s="12"/>
      <c r="K90" s="14">
        <f t="shared" si="1"/>
        <v>36</v>
      </c>
      <c r="L90" s="15" t="s">
        <v>194</v>
      </c>
      <c r="M90" s="16" t="s">
        <v>23</v>
      </c>
      <c r="N90" s="5"/>
    </row>
    <row r="91" spans="1:14" x14ac:dyDescent="0.35">
      <c r="A91" s="12" t="s">
        <v>195</v>
      </c>
      <c r="B91" s="11" t="s">
        <v>196</v>
      </c>
      <c r="C91" s="11" t="s">
        <v>197</v>
      </c>
      <c r="D91" s="12"/>
      <c r="E91" s="12"/>
      <c r="F91" s="11" t="s">
        <v>105</v>
      </c>
      <c r="G91" s="10">
        <v>10</v>
      </c>
      <c r="H91" s="12" t="s">
        <v>17</v>
      </c>
      <c r="I91" s="13">
        <v>3</v>
      </c>
      <c r="J91" s="12"/>
      <c r="K91" s="14">
        <f t="shared" si="1"/>
        <v>30</v>
      </c>
      <c r="L91" s="15" t="s">
        <v>198</v>
      </c>
      <c r="M91" s="16" t="s">
        <v>23</v>
      </c>
      <c r="N91" s="5"/>
    </row>
    <row r="92" spans="1:14" x14ac:dyDescent="0.35">
      <c r="A92" s="10" t="s">
        <v>199</v>
      </c>
      <c r="B92" s="11"/>
      <c r="C92" s="11" t="s">
        <v>200</v>
      </c>
      <c r="D92" s="12"/>
      <c r="E92" s="12"/>
      <c r="F92" s="11" t="s">
        <v>105</v>
      </c>
      <c r="G92" s="10">
        <v>10</v>
      </c>
      <c r="H92" s="12" t="s">
        <v>17</v>
      </c>
      <c r="I92" s="13">
        <v>8</v>
      </c>
      <c r="J92" s="12"/>
      <c r="K92" s="14">
        <f t="shared" si="1"/>
        <v>80</v>
      </c>
      <c r="L92" s="15" t="s">
        <v>201</v>
      </c>
      <c r="M92" s="16" t="s">
        <v>23</v>
      </c>
      <c r="N92" s="5"/>
    </row>
    <row r="93" spans="1:14" x14ac:dyDescent="0.35">
      <c r="A93" s="10" t="s">
        <v>202</v>
      </c>
      <c r="B93" s="11"/>
      <c r="C93" s="11" t="s">
        <v>203</v>
      </c>
      <c r="D93" s="12"/>
      <c r="E93" s="12"/>
      <c r="F93" s="11" t="s">
        <v>204</v>
      </c>
      <c r="G93" s="10">
        <v>13</v>
      </c>
      <c r="H93" s="12" t="s">
        <v>205</v>
      </c>
      <c r="I93" s="13">
        <v>90</v>
      </c>
      <c r="J93" s="12"/>
      <c r="K93" s="14">
        <f t="shared" si="1"/>
        <v>1170</v>
      </c>
      <c r="L93" s="15" t="s">
        <v>206</v>
      </c>
      <c r="M93" s="16" t="s">
        <v>19</v>
      </c>
      <c r="N93" s="5"/>
    </row>
    <row r="94" spans="1:14" x14ac:dyDescent="0.35">
      <c r="A94" s="10" t="s">
        <v>207</v>
      </c>
      <c r="B94" s="11"/>
      <c r="C94" s="11" t="s">
        <v>208</v>
      </c>
      <c r="D94" s="12"/>
      <c r="E94" s="12"/>
      <c r="F94" s="11" t="s">
        <v>204</v>
      </c>
      <c r="G94" s="10">
        <v>8</v>
      </c>
      <c r="H94" s="12" t="s">
        <v>205</v>
      </c>
      <c r="I94" s="13">
        <v>90</v>
      </c>
      <c r="J94" s="12"/>
      <c r="K94" s="14">
        <f t="shared" si="1"/>
        <v>720</v>
      </c>
      <c r="L94" s="15" t="s">
        <v>209</v>
      </c>
      <c r="M94" s="16" t="s">
        <v>19</v>
      </c>
      <c r="N94" s="5"/>
    </row>
    <row r="95" spans="1:14" x14ac:dyDescent="0.35">
      <c r="A95" s="10" t="s">
        <v>210</v>
      </c>
      <c r="B95" s="11"/>
      <c r="C95" s="11" t="s">
        <v>211</v>
      </c>
      <c r="D95" s="12"/>
      <c r="E95" s="12"/>
      <c r="F95" s="11" t="s">
        <v>204</v>
      </c>
      <c r="G95" s="10">
        <v>17</v>
      </c>
      <c r="H95" s="12" t="s">
        <v>205</v>
      </c>
      <c r="I95" s="13">
        <v>90</v>
      </c>
      <c r="J95" s="12"/>
      <c r="K95" s="14">
        <f t="shared" si="1"/>
        <v>1530</v>
      </c>
      <c r="L95" s="15" t="s">
        <v>212</v>
      </c>
      <c r="M95" s="16" t="s">
        <v>19</v>
      </c>
      <c r="N95" s="5"/>
    </row>
    <row r="96" spans="1:14" x14ac:dyDescent="0.35">
      <c r="A96" s="10" t="s">
        <v>213</v>
      </c>
      <c r="B96" s="11"/>
      <c r="C96" s="11" t="s">
        <v>214</v>
      </c>
      <c r="D96" s="12"/>
      <c r="E96" s="12"/>
      <c r="F96" s="11" t="s">
        <v>204</v>
      </c>
      <c r="G96" s="10">
        <v>6</v>
      </c>
      <c r="H96" s="12" t="s">
        <v>205</v>
      </c>
      <c r="I96" s="13">
        <v>90</v>
      </c>
      <c r="J96" s="12"/>
      <c r="K96" s="14">
        <f t="shared" si="1"/>
        <v>540</v>
      </c>
      <c r="L96" s="15" t="s">
        <v>215</v>
      </c>
      <c r="M96" s="16" t="s">
        <v>19</v>
      </c>
      <c r="N96" s="5"/>
    </row>
    <row r="97" spans="1:14" x14ac:dyDescent="0.35">
      <c r="A97" s="10" t="s">
        <v>216</v>
      </c>
      <c r="B97" s="11"/>
      <c r="C97" s="11" t="s">
        <v>217</v>
      </c>
      <c r="D97" s="12"/>
      <c r="E97" s="12"/>
      <c r="F97" s="11" t="s">
        <v>204</v>
      </c>
      <c r="G97" s="10">
        <v>3</v>
      </c>
      <c r="H97" s="12" t="s">
        <v>205</v>
      </c>
      <c r="I97" s="13">
        <v>90</v>
      </c>
      <c r="J97" s="12"/>
      <c r="K97" s="14">
        <f t="shared" si="1"/>
        <v>270</v>
      </c>
      <c r="L97" s="15" t="s">
        <v>218</v>
      </c>
      <c r="M97" s="16" t="s">
        <v>19</v>
      </c>
      <c r="N97" s="5"/>
    </row>
    <row r="98" spans="1:14" x14ac:dyDescent="0.35">
      <c r="A98" s="10" t="s">
        <v>219</v>
      </c>
      <c r="B98" s="11"/>
      <c r="C98" s="11" t="s">
        <v>220</v>
      </c>
      <c r="D98" s="12"/>
      <c r="E98" s="12"/>
      <c r="F98" s="11" t="s">
        <v>204</v>
      </c>
      <c r="G98" s="10">
        <v>5</v>
      </c>
      <c r="H98" s="12" t="s">
        <v>205</v>
      </c>
      <c r="I98" s="13">
        <v>90</v>
      </c>
      <c r="J98" s="12"/>
      <c r="K98" s="14">
        <f t="shared" si="1"/>
        <v>450</v>
      </c>
      <c r="L98" s="15" t="s">
        <v>221</v>
      </c>
      <c r="M98" s="16" t="s">
        <v>19</v>
      </c>
      <c r="N98" s="5"/>
    </row>
    <row r="99" spans="1:14" x14ac:dyDescent="0.35">
      <c r="A99" s="10" t="s">
        <v>222</v>
      </c>
      <c r="B99" s="11"/>
      <c r="C99" s="12"/>
      <c r="D99" s="12"/>
      <c r="E99" s="12"/>
      <c r="F99" s="11"/>
      <c r="G99" s="10">
        <v>200</v>
      </c>
      <c r="H99" s="12" t="s">
        <v>109</v>
      </c>
      <c r="I99" s="13">
        <v>7.28</v>
      </c>
      <c r="J99" s="12"/>
      <c r="K99" s="14">
        <f t="shared" si="1"/>
        <v>1456</v>
      </c>
      <c r="L99" s="23" t="s">
        <v>223</v>
      </c>
      <c r="M99" s="16" t="s">
        <v>23</v>
      </c>
      <c r="N99" s="5"/>
    </row>
    <row r="100" spans="1:14" x14ac:dyDescent="0.35">
      <c r="A100" s="10" t="s">
        <v>224</v>
      </c>
      <c r="B100" s="20">
        <v>4042448102454</v>
      </c>
      <c r="C100" s="11" t="s">
        <v>225</v>
      </c>
      <c r="D100" s="12"/>
      <c r="E100" s="12"/>
      <c r="F100" s="11" t="s">
        <v>105</v>
      </c>
      <c r="G100" s="10">
        <v>2</v>
      </c>
      <c r="H100" s="12" t="s">
        <v>17</v>
      </c>
      <c r="I100" s="13">
        <v>28.98</v>
      </c>
      <c r="J100" s="12"/>
      <c r="K100" s="14">
        <f t="shared" si="1"/>
        <v>57.96</v>
      </c>
      <c r="L100" s="15" t="s">
        <v>226</v>
      </c>
      <c r="M100" s="16" t="s">
        <v>19</v>
      </c>
      <c r="N100" s="5"/>
    </row>
    <row r="101" spans="1:14" x14ac:dyDescent="0.35">
      <c r="A101" s="10" t="s">
        <v>227</v>
      </c>
      <c r="B101" s="11"/>
      <c r="C101" s="12"/>
      <c r="D101" s="12"/>
      <c r="E101" s="12"/>
      <c r="F101" s="11" t="s">
        <v>129</v>
      </c>
      <c r="G101" s="10">
        <v>1</v>
      </c>
      <c r="H101" s="12" t="s">
        <v>17</v>
      </c>
      <c r="I101" s="13">
        <v>60</v>
      </c>
      <c r="J101" s="12"/>
      <c r="K101" s="14">
        <f t="shared" si="1"/>
        <v>60</v>
      </c>
      <c r="L101" s="21" t="s">
        <v>228</v>
      </c>
      <c r="M101" s="16" t="s">
        <v>19</v>
      </c>
      <c r="N101" s="5"/>
    </row>
    <row r="102" spans="1:14" x14ac:dyDescent="0.35">
      <c r="A102" s="10" t="s">
        <v>229</v>
      </c>
      <c r="B102" s="20">
        <v>5902455503844</v>
      </c>
      <c r="C102" s="11" t="s">
        <v>230</v>
      </c>
      <c r="D102" s="12" t="s">
        <v>231</v>
      </c>
      <c r="E102" s="12"/>
      <c r="F102" s="11" t="s">
        <v>232</v>
      </c>
      <c r="G102" s="10">
        <v>1</v>
      </c>
      <c r="H102" s="12" t="s">
        <v>17</v>
      </c>
      <c r="I102" s="13">
        <f>360.1/1.23</f>
        <v>292.76422764227647</v>
      </c>
      <c r="J102" s="12"/>
      <c r="K102" s="14">
        <f t="shared" si="1"/>
        <v>292.76422764227647</v>
      </c>
      <c r="L102" s="15" t="s">
        <v>233</v>
      </c>
      <c r="M102" s="16" t="s">
        <v>82</v>
      </c>
      <c r="N102" s="5"/>
    </row>
    <row r="103" spans="1:14" x14ac:dyDescent="0.35">
      <c r="A103" s="10" t="s">
        <v>234</v>
      </c>
      <c r="B103" s="11"/>
      <c r="C103" s="11" t="s">
        <v>235</v>
      </c>
      <c r="D103" s="12"/>
      <c r="E103" s="12"/>
      <c r="F103" s="11" t="s">
        <v>190</v>
      </c>
      <c r="G103" s="10">
        <v>1</v>
      </c>
      <c r="H103" s="12" t="s">
        <v>17</v>
      </c>
      <c r="I103" s="13">
        <v>69</v>
      </c>
      <c r="J103" s="12"/>
      <c r="K103" s="14">
        <f t="shared" si="1"/>
        <v>69</v>
      </c>
      <c r="L103" s="15" t="s">
        <v>236</v>
      </c>
      <c r="M103" s="16" t="s">
        <v>23</v>
      </c>
      <c r="N103" s="5"/>
    </row>
    <row r="104" spans="1:14" x14ac:dyDescent="0.35">
      <c r="A104" s="10" t="s">
        <v>237</v>
      </c>
      <c r="B104" s="11"/>
      <c r="C104" s="11">
        <v>243</v>
      </c>
      <c r="D104" s="12"/>
      <c r="E104" s="12"/>
      <c r="F104" s="11" t="s">
        <v>238</v>
      </c>
      <c r="G104" s="10">
        <v>1</v>
      </c>
      <c r="H104" s="12" t="s">
        <v>17</v>
      </c>
      <c r="I104" s="13">
        <v>15</v>
      </c>
      <c r="J104" s="12"/>
      <c r="K104" s="14">
        <f t="shared" si="1"/>
        <v>15</v>
      </c>
      <c r="L104" s="15" t="s">
        <v>239</v>
      </c>
      <c r="M104" s="16" t="s">
        <v>19</v>
      </c>
      <c r="N104" s="5"/>
    </row>
    <row r="105" spans="1:14" x14ac:dyDescent="0.35">
      <c r="A105" s="10" t="s">
        <v>240</v>
      </c>
      <c r="B105" s="20">
        <v>619659172947</v>
      </c>
      <c r="C105" s="11" t="s">
        <v>241</v>
      </c>
      <c r="D105" s="12"/>
      <c r="E105" s="12"/>
      <c r="F105" s="11" t="s">
        <v>242</v>
      </c>
      <c r="G105" s="10">
        <v>2</v>
      </c>
      <c r="H105" s="12" t="s">
        <v>17</v>
      </c>
      <c r="I105" s="13">
        <v>50</v>
      </c>
      <c r="J105" s="12"/>
      <c r="K105" s="14">
        <f t="shared" si="1"/>
        <v>100</v>
      </c>
      <c r="L105" s="15" t="s">
        <v>243</v>
      </c>
      <c r="M105" s="16" t="s">
        <v>23</v>
      </c>
      <c r="N105" s="5"/>
    </row>
  </sheetData>
  <hyperlinks>
    <hyperlink ref="L5" r:id="rId1" xr:uid="{37DE19A9-22B6-4243-81AE-DA9547BC3022}"/>
    <hyperlink ref="L6" r:id="rId2" xr:uid="{0582450E-FD72-4838-935A-E146B40211C2}"/>
    <hyperlink ref="L7" r:id="rId3" xr:uid="{A225C47A-603E-4497-8C04-13CCB269D307}"/>
    <hyperlink ref="L8" r:id="rId4" xr:uid="{00A9741E-6BC2-4C9E-8840-7E5E58F6B320}"/>
    <hyperlink ref="L13" r:id="rId5" xr:uid="{CAD6005B-9C4E-46F1-B599-046CDB2CABFB}"/>
    <hyperlink ref="L10" r:id="rId6" xr:uid="{6815AF54-8FD9-4E27-A17B-A0FA33237465}"/>
    <hyperlink ref="L11" r:id="rId7" xr:uid="{B9D79307-13FB-410C-98AB-CB33747E74E1}"/>
    <hyperlink ref="L12" r:id="rId8" xr:uid="{BC0BD8A9-AC79-45BD-AD62-40E487A93B7E}"/>
    <hyperlink ref="L9" r:id="rId9" xr:uid="{69B2E087-1204-414C-A5A0-67DA050C74C2}"/>
    <hyperlink ref="L21" r:id="rId10" xr:uid="{42EDE2B4-94E1-4935-BB8C-5F1CF28C28DA}"/>
    <hyperlink ref="L20" r:id="rId11" xr:uid="{4834D54B-DD41-4350-AD4E-8CCC6C487D9D}"/>
    <hyperlink ref="L22" r:id="rId12" xr:uid="{640B3110-5D01-4A03-BBD9-609331E6F769}"/>
    <hyperlink ref="L23" r:id="rId13" xr:uid="{F4D0AEAE-1C64-4A55-91CC-FFE90A6E7A37}"/>
    <hyperlink ref="L24" r:id="rId14" xr:uid="{2945F693-907F-407D-A226-5B65FE02DCDF}"/>
    <hyperlink ref="L25" r:id="rId15" xr:uid="{B8B3BBF3-68AC-488D-9FB9-99FCBADB18FA}"/>
    <hyperlink ref="L26" r:id="rId16" xr:uid="{46A8D0F5-A65B-4025-932E-8186332C6989}"/>
    <hyperlink ref="L27" r:id="rId17" xr:uid="{23CEE3F6-67EA-4068-8C81-9244136E9059}"/>
    <hyperlink ref="L28" r:id="rId18" xr:uid="{BCAE6A23-C3D8-498B-8A97-6FFFD0E1C570}"/>
    <hyperlink ref="L29" r:id="rId19" xr:uid="{717CD4C4-7284-47D2-88A4-3956F4CD128F}"/>
    <hyperlink ref="L30" r:id="rId20" xr:uid="{094C4C79-192E-4F26-A8A5-617912192F72}"/>
    <hyperlink ref="L31" r:id="rId21" xr:uid="{EB968AE9-4234-45BB-B7E0-00D150C96C08}"/>
    <hyperlink ref="L32" r:id="rId22" xr:uid="{B02A9C64-F291-4168-BAC0-A4F5AB6FFD37}"/>
    <hyperlink ref="L39" r:id="rId23" xr:uid="{298C8DFD-F023-4AE2-96FC-2FC1AB310215}"/>
    <hyperlink ref="L38" r:id="rId24" xr:uid="{E38E5710-F30C-4D61-ADAF-70CFF1D42D6F}"/>
    <hyperlink ref="L41" r:id="rId25" xr:uid="{4708D429-0358-4FC1-ACF4-EC63ADA1DD55}"/>
    <hyperlink ref="L40" r:id="rId26" xr:uid="{C4C458C9-EBC9-4DD7-8325-257E80779F6F}"/>
    <hyperlink ref="L42" r:id="rId27" xr:uid="{6E3ACBED-49DC-41F5-AC47-2B2A6F8C57E8}"/>
    <hyperlink ref="L43" r:id="rId28" xr:uid="{67F5E795-DA23-49F3-BDF5-18FBD3010CC3}"/>
    <hyperlink ref="L44" r:id="rId29" xr:uid="{7B4CED39-F9D0-47A5-A7AF-0A0E5ED0CFB1}"/>
    <hyperlink ref="L45" r:id="rId30" xr:uid="{8C48EADA-B95A-4BDE-8C6D-8EFDDB58055A}"/>
    <hyperlink ref="L46" r:id="rId31" xr:uid="{9618F4D5-8D0A-4E1B-9034-0CFE47D46625}"/>
    <hyperlink ref="L84" r:id="rId32" xr:uid="{91E0BE10-063D-450C-A6EC-2D9B47696705}"/>
    <hyperlink ref="L85" r:id="rId33" xr:uid="{4191512A-A032-4552-9B7E-4382060204FA}"/>
    <hyperlink ref="L86" r:id="rId34" xr:uid="{ADA478A8-987A-4223-B0F9-200FE5DEC983}"/>
    <hyperlink ref="L83" r:id="rId35" xr:uid="{567B801C-20EF-4D9E-B881-D3D67E6C2D56}"/>
    <hyperlink ref="L87" r:id="rId36" xr:uid="{7EB4160C-EA8B-4198-AAA2-55C7B830B3B4}"/>
    <hyperlink ref="L82" r:id="rId37" xr:uid="{2525877D-3CCE-49B5-A456-07E5F829F65C}"/>
    <hyperlink ref="L81" r:id="rId38" xr:uid="{6A1D93EA-BBC6-4789-BF78-232A07854B5F}"/>
    <hyperlink ref="L14" r:id="rId39" xr:uid="{36ED07DB-3A7E-4404-B4DC-DDEC1EF3F878}"/>
    <hyperlink ref="L88" r:id="rId40" display="https://www.conrad.pl/pl/p/wkretak-imbusowy-wera-354-05023107001-2-5-mm-817257.html?experience=b2c&amp;gclsrc=aw.ds&amp;&amp;qwer=Cj0KCQiA-YvMBhDtARIsAHZuUzLgVBandcZLPFloZWAUQSzqsJ2aXiJmPkrGIhN75U06CKYReIe4f80aAoPgEALw_wcB&amp;utm_source=google&amp;utm_medium=cpc&amp;utm_campaign=PL+-+PMAX+-+NonBrand+-+High+3_&amp;utm_id=21864643648&amp;gad_source=1&amp;gad_campaignid=21860786093&amp;gbraid=0AAAAADj8Oy6O1vBWOn1aXqoPm-S-eOIgg&amp;gclid=Cj0KCQiA-YvMBhDtARIsAHZuUzLgVBandcZLPFloZWAUQSzqsJ2aXiJmPkrGIhN75U06CKYReIe4f80aAoPgEALw_wcB" xr:uid="{681D2FF5-3B9E-4DBE-B982-F61A894FB95E}"/>
    <hyperlink ref="L95" r:id="rId41" xr:uid="{DF66A5DF-2406-4CF2-B400-F3F3C35A0C52}"/>
    <hyperlink ref="L49" r:id="rId42" xr:uid="{8B7F5ECE-4054-4D87-B563-68CBE7D8084E}"/>
    <hyperlink ref="L50" r:id="rId43" xr:uid="{3938DCA0-FC90-4444-9C5A-838C7DDEB5F7}"/>
    <hyperlink ref="L89" r:id="rId44" xr:uid="{CD5A9066-96BD-41E3-A0FC-F19871D6B3A0}"/>
    <hyperlink ref="L90" r:id="rId45" xr:uid="{1BF4D6CB-6720-47A8-9CA1-851285AED72E}"/>
    <hyperlink ref="L92" r:id="rId46" display="https://www.tme.eu/pl/details/xt90i-m/zlacza-dc/amass/?brutto=1&amp;currency=PLN&amp;utm_source=google&amp;utm_medium=cpc&amp;utm_campaign=Z%C5%82%C4%85cza%20PL%20%5BPLA%5D%20CSS%20Segment_B&amp;utm_content=&amp;campaign_id=20675111424&amp;gad_source=1&amp;gad_campaignid=20675111424&amp;gbraid=0AAAAADyylhIVM71V4wJfwdpFCKvASWEO8&amp;gclid=Cj0KCQiA-YvMBhDtARIsAHZuUzJRwKDxzzfG57J5AmFXD_ySCwDv0pXdpTAnG-Fq9EKtuwGr2B6AU0kaAkvUEALw_wcB" xr:uid="{60E26CAC-872E-48E1-B829-A5CFD3B2ECD9}"/>
    <hyperlink ref="L91" r:id="rId47" display="https://www.tme.eu/pl/details/xt60h-f/zlacza-dc/amass/?brutto=1&amp;currency=PLN&amp;utm_source=google&amp;utm_medium=cpc&amp;utm_campaign=Z%C5%82%C4%85cza%20PL%20%5BPLA%5D%20CSS%20Segment_A&amp;utm_content=&amp;campaign_id=11197053321&amp;gad_source=1&amp;gad_campaignid=11197053321&amp;gbraid=0AAAAADyylhI-p3P-CkPRao-sN0GrOK_eI&amp;gclid=Cj0KCQiA-YvMBhDtARIsAHZuUzL5-5m-C10-sG8oUz9_D3UVTXHk5BQ-gJlsIIPPjtWKyly7bOs0-LAaAizCEALw_wcB" xr:uid="{0E4940C2-4412-44A3-9C2D-E2BF987BC350}"/>
    <hyperlink ref="L94" r:id="rId48" xr:uid="{3E491BA3-7943-4832-A7C1-E4472D092607}"/>
    <hyperlink ref="L93" r:id="rId49" xr:uid="{57D67005-B5E3-4578-B97A-9CAD03959D9C}"/>
    <hyperlink ref="L96" r:id="rId50" xr:uid="{AE77E0F4-1A44-4538-B0B0-03795E40B6E8}"/>
    <hyperlink ref="L101" r:id="rId51" display="https://allegro.pl/oferta/80x-mocne-podkladki-samoprzylepne-3m-montazowe-tasma-dwustronna-wodoodporna-17978327421?utm_feed=aa34192d-eee2-4419-9a9a-de66b9dfae24&amp;utm_source=google&amp;utm_medium=freelisting&amp;srsltid=AfmBOorf1f-7Ix4eudtc7Ye19ZEl5eVNVAXA85wVLKjQWiDD5hGs3WN9VE0" xr:uid="{4841EEA5-696F-4245-9D50-55F4E82B2A1D}"/>
    <hyperlink ref="L97" r:id="rId52" xr:uid="{1767CDF9-6AB4-4C65-94CE-BB7659091686}"/>
    <hyperlink ref="L98" r:id="rId53" xr:uid="{C653CF16-272A-4614-A8E1-4F1D4FC42B31}"/>
    <hyperlink ref="L100" r:id="rId54" xr:uid="{087717AC-7C6B-4C9F-81E6-A14509F559E4}"/>
    <hyperlink ref="L103" r:id="rId55" xr:uid="{28E646C0-30CC-4982-941D-662BE267C636}"/>
    <hyperlink ref="L104" r:id="rId56" location="dlapi_npa=0&amp;dlapi_lu=202602041517093544309156" display="https://erli.pl/produkt/loolifl-243-klej-anaerobowy-do-srub-o-sredniej-wytrzymalosci-10-ml,244961483?xid=zhZukSAb2Mr0SWLxz1iGJ-BLLTKl4WayF_d4VXG8wjlPGXRK7Jr01ozQRuMxz32fKk4QnSQ&amp;xidv=1&amp;utm_source=skapiec.pl&amp;utm_medium=referral&amp;utm_term=CPC14#dlapi_npa=0&amp;dlapi_lu=202602041517093544309156" xr:uid="{E96CD543-C872-48EB-8909-6A73EF8B525B}"/>
    <hyperlink ref="L105" r:id="rId57" display="https://www.mediaexpert.pl/foto-i-kamery/akcesoria-do-aparatow-i-kamer/karty-pamieci/karta-pamieci-32-gb-sandisk-microsd-high-endurance-monitoring-183565?gad_source=1&amp;gad_campaignid=11301062048&amp;gbraid=0AAAAADoIO6_xD8Yl8-4ntkCTKjCqhxFVS&amp;gclid=Cj0KCQiA-YvMBhDtARIsAHZuUzIC5_iRh5B3wOoG_LGrebS7QMAI83OPxtTyB1lTwLwCVJ9WZt9GrhgaAjHmEALw_wcB" xr:uid="{BE6AAC2C-EA71-40EE-BC97-DAE25F17C57E}"/>
    <hyperlink ref="L58" r:id="rId58" xr:uid="{2DEA9300-FF12-49F3-94DA-26F034F5DDD2}"/>
    <hyperlink ref="L55" r:id="rId59" xr:uid="{6D68280C-21B3-4029-8D89-591A0BC2F722}"/>
    <hyperlink ref="L56" r:id="rId60" display="https://www.tme.eu/pl/details/3m-tf-165-19-20bk/tasmy-izolacyjne/3m/165bk5e-temflex/?brutto=1&amp;currency=PLN&amp;utm_source=google&amp;utm_medium=cpc&amp;utm_campaign=Wyposa%C5%BCenie%20PL%20%5BPLA%5D%20CSS%20Segment_A&amp;utm_content=&amp;campaign_id=11197053318&amp;gad_source=1&amp;gad_campaignid=11197053318&amp;gbraid=0AAAAADyylhJKx_T54eo1_Gn_xhES_HRTC&amp;gclid=CjwKCAiAnoXNBhAZEiwAnItcGwax7CVKeUo0KOZgjBTEXquimL8OZdXlR2YOEw1nl1qHq88RMg3m_hoCLGwQAvD_BwE" xr:uid="{8E6AE03F-5808-4A02-AD95-F6600DF50DF0}"/>
    <hyperlink ref="L57" r:id="rId61" xr:uid="{AA3CC575-2583-4DF7-A225-4B814AB0AAEE}"/>
    <hyperlink ref="L59" r:id="rId62" xr:uid="{E837EC1F-F4BC-4695-80D8-2C5C3AAE664F}"/>
    <hyperlink ref="L63" r:id="rId63" xr:uid="{62ABB96A-9B2F-45C6-B8FF-0B89D4A4D2F1}"/>
    <hyperlink ref="L64" r:id="rId64" xr:uid="{DDFF6247-082A-4E56-915F-DD6AE7785D67}"/>
    <hyperlink ref="L65" r:id="rId65" xr:uid="{24F1CCFC-D9E5-4502-8F63-C9AE075430CA}"/>
    <hyperlink ref="L68" r:id="rId66" xr:uid="{B311149E-5D4A-4315-9726-C2721D6DD127}"/>
  </hyperlinks>
  <pageMargins left="0.75" right="0.75" top="1" bottom="1" header="0.5" footer="0.5"/>
  <pageSetup scale="72" orientation="landscape" r:id="rId67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Szablon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Paweł Tołoczko</dc:creator>
  <cp:keywords/>
  <dc:description/>
  <cp:lastModifiedBy>Tyszecki Maciej</cp:lastModifiedBy>
  <cp:lastPrinted>2024-11-13T13:52:18Z</cp:lastPrinted>
  <dcterms:created xsi:type="dcterms:W3CDTF">2023-11-23T12:25:34Z</dcterms:created>
  <dcterms:modified xsi:type="dcterms:W3CDTF">2026-02-27T10:59:41Z</dcterms:modified>
  <cp:category/>
</cp:coreProperties>
</file>